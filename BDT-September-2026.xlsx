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9fde80517f38ba/Documents/Glass-Transition-Model/Tensile-Compressive/"/>
    </mc:Choice>
  </mc:AlternateContent>
  <xr:revisionPtr revIDLastSave="10" documentId="8_{C6E70166-2613-4CD1-8E92-5F0BF076E025}" xr6:coauthVersionLast="47" xr6:coauthVersionMax="47" xr10:uidLastSave="{04DF6808-3A06-4E35-9E12-397CF9DCBD0C}"/>
  <bookViews>
    <workbookView xWindow="-120" yWindow="-120" windowWidth="29040" windowHeight="15720" activeTab="6" xr2:uid="{72BE8CD8-FBE8-40DE-B611-7B1BCBBA4B2A}"/>
  </bookViews>
  <sheets>
    <sheet name="FictiveCalc" sheetId="3" r:id="rId1"/>
    <sheet name="Data" sheetId="1" r:id="rId2"/>
    <sheet name="CalculationsPMMA" sheetId="2" r:id="rId3"/>
    <sheet name="PlotPMMA" sheetId="4" r:id="rId4"/>
    <sheet name="CalculationsPS" sheetId="5" r:id="rId5"/>
    <sheet name="PlotPS" sheetId="6" r:id="rId6"/>
    <sheet name="CalculationsPVC" sheetId="7" r:id="rId7"/>
    <sheet name="PlotPVC" sheetId="8" r:id="rId8"/>
  </sheets>
  <definedNames>
    <definedName name="solver_adj" localSheetId="2" hidden="1">CalculationsPMMA!$C$13</definedName>
    <definedName name="solver_adj" localSheetId="4" hidden="1">CalculationsPS!$C$13</definedName>
    <definedName name="solver_adj" localSheetId="6" hidden="1">CalculationsPVC!$C$13</definedName>
    <definedName name="solver_cvg" localSheetId="2" hidden="1">0.0001</definedName>
    <definedName name="solver_cvg" localSheetId="4" hidden="1">0.0001</definedName>
    <definedName name="solver_cvg" localSheetId="6" hidden="1">0.0001</definedName>
    <definedName name="solver_drv" localSheetId="2" hidden="1">1</definedName>
    <definedName name="solver_drv" localSheetId="4" hidden="1">1</definedName>
    <definedName name="solver_drv" localSheetId="6" hidden="1">1</definedName>
    <definedName name="solver_eng" localSheetId="2" hidden="1">1</definedName>
    <definedName name="solver_eng" localSheetId="4" hidden="1">1</definedName>
    <definedName name="solver_eng" localSheetId="6" hidden="1">1</definedName>
    <definedName name="solver_est" localSheetId="2" hidden="1">1</definedName>
    <definedName name="solver_est" localSheetId="4" hidden="1">1</definedName>
    <definedName name="solver_est" localSheetId="6" hidden="1">1</definedName>
    <definedName name="solver_itr" localSheetId="2" hidden="1">2147483647</definedName>
    <definedName name="solver_itr" localSheetId="4" hidden="1">2147483647</definedName>
    <definedName name="solver_itr" localSheetId="6" hidden="1">2147483647</definedName>
    <definedName name="solver_lhs1" localSheetId="2" hidden="1">CalculationsPMMA!$C$13</definedName>
    <definedName name="solver_lhs1" localSheetId="4" hidden="1">CalculationsPS!$C$13</definedName>
    <definedName name="solver_lhs1" localSheetId="6" hidden="1">CalculationsPVC!$C$13</definedName>
    <definedName name="solver_lhs2" localSheetId="2" hidden="1">CalculationsPMMA!$C$13</definedName>
    <definedName name="solver_lhs2" localSheetId="4" hidden="1">CalculationsPS!$C$13</definedName>
    <definedName name="solver_lhs2" localSheetId="6" hidden="1">CalculationsPVC!$C$13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ni" localSheetId="2" hidden="1">30</definedName>
    <definedName name="solver_mni" localSheetId="4" hidden="1">30</definedName>
    <definedName name="solver_mni" localSheetId="6" hidden="1">30</definedName>
    <definedName name="solver_mrt" localSheetId="2" hidden="1">0.075</definedName>
    <definedName name="solver_mrt" localSheetId="4" hidden="1">0.075</definedName>
    <definedName name="solver_mrt" localSheetId="6" hidden="1">0.075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um" localSheetId="2" hidden="1">2</definedName>
    <definedName name="solver_num" localSheetId="4" hidden="1">2</definedName>
    <definedName name="solver_num" localSheetId="6" hidden="1">2</definedName>
    <definedName name="solver_nwt" localSheetId="2" hidden="1">1</definedName>
    <definedName name="solver_nwt" localSheetId="4" hidden="1">1</definedName>
    <definedName name="solver_nwt" localSheetId="6" hidden="1">1</definedName>
    <definedName name="solver_opt" localSheetId="2" hidden="1">CalculationsPMMA!$Y$10</definedName>
    <definedName name="solver_opt" localSheetId="4" hidden="1">CalculationsPS!$Y$10</definedName>
    <definedName name="solver_opt" localSheetId="6" hidden="1">CalculationsPVC!$Y$10</definedName>
    <definedName name="solver_pre" localSheetId="2" hidden="1">0.000001</definedName>
    <definedName name="solver_pre" localSheetId="4" hidden="1">0.000001</definedName>
    <definedName name="solver_pre" localSheetId="6" hidden="1">0.000001</definedName>
    <definedName name="solver_rbv" localSheetId="2" hidden="1">1</definedName>
    <definedName name="solver_rbv" localSheetId="4" hidden="1">1</definedName>
    <definedName name="solver_rbv" localSheetId="6" hidden="1">1</definedName>
    <definedName name="solver_rel1" localSheetId="2" hidden="1">1</definedName>
    <definedName name="solver_rel1" localSheetId="4" hidden="1">1</definedName>
    <definedName name="solver_rel1" localSheetId="6" hidden="1">1</definedName>
    <definedName name="solver_rel2" localSheetId="2" hidden="1">3</definedName>
    <definedName name="solver_rel2" localSheetId="4" hidden="1">3</definedName>
    <definedName name="solver_rel2" localSheetId="6" hidden="1">3</definedName>
    <definedName name="solver_rhs1" localSheetId="2" hidden="1">1</definedName>
    <definedName name="solver_rhs1" localSheetId="4" hidden="1">1</definedName>
    <definedName name="solver_rhs1" localSheetId="6" hidden="1">1</definedName>
    <definedName name="solver_rhs2" localSheetId="2" hidden="1">0</definedName>
    <definedName name="solver_rhs2" localSheetId="4" hidden="1">0</definedName>
    <definedName name="solver_rhs2" localSheetId="6" hidden="1">0</definedName>
    <definedName name="solver_rlx" localSheetId="2" hidden="1">2</definedName>
    <definedName name="solver_rlx" localSheetId="4" hidden="1">2</definedName>
    <definedName name="solver_rlx" localSheetId="6" hidden="1">2</definedName>
    <definedName name="solver_rsd" localSheetId="2" hidden="1">0</definedName>
    <definedName name="solver_rsd" localSheetId="4" hidden="1">0</definedName>
    <definedName name="solver_rsd" localSheetId="6" hidden="1">0</definedName>
    <definedName name="solver_scl" localSheetId="2" hidden="1">1</definedName>
    <definedName name="solver_scl" localSheetId="4" hidden="1">1</definedName>
    <definedName name="solver_scl" localSheetId="6" hidden="1">1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sz" localSheetId="2" hidden="1">100</definedName>
    <definedName name="solver_ssz" localSheetId="4" hidden="1">100</definedName>
    <definedName name="solver_ssz" localSheetId="6" hidden="1">100</definedName>
    <definedName name="solver_tim" localSheetId="2" hidden="1">2147483647</definedName>
    <definedName name="solver_tim" localSheetId="4" hidden="1">2147483647</definedName>
    <definedName name="solver_tim" localSheetId="6" hidden="1">2147483647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yp" localSheetId="2" hidden="1">2</definedName>
    <definedName name="solver_typ" localSheetId="4" hidden="1">2</definedName>
    <definedName name="solver_typ" localSheetId="6" hidden="1">2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er" localSheetId="2" hidden="1">3</definedName>
    <definedName name="solver_ver" localSheetId="4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5" l="1"/>
  <c r="C22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G3" i="7"/>
  <c r="I3" i="7" s="1"/>
  <c r="P2" i="7"/>
  <c r="J2" i="7"/>
  <c r="G2" i="7"/>
  <c r="W2" i="7" s="1"/>
  <c r="E2" i="7"/>
  <c r="E5" i="7" s="1"/>
  <c r="E8" i="7" s="1"/>
  <c r="E14" i="7" s="1"/>
  <c r="E2" i="5"/>
  <c r="E5" i="5" s="1"/>
  <c r="E8" i="5" s="1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W2" i="5"/>
  <c r="P2" i="5"/>
  <c r="G2" i="5"/>
  <c r="J2" i="5" s="1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3" i="3"/>
  <c r="E2" i="2"/>
  <c r="E5" i="2" s="1"/>
  <c r="E8" i="2" s="1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J62" i="2" s="1"/>
  <c r="P2" i="2"/>
  <c r="W4" i="2" l="1"/>
  <c r="W12" i="2"/>
  <c r="W20" i="2"/>
  <c r="W28" i="2"/>
  <c r="W36" i="2"/>
  <c r="W44" i="2"/>
  <c r="W52" i="2"/>
  <c r="W60" i="2"/>
  <c r="W5" i="2"/>
  <c r="W13" i="2"/>
  <c r="W21" i="2"/>
  <c r="W29" i="2"/>
  <c r="W37" i="2"/>
  <c r="W45" i="2"/>
  <c r="W53" i="2"/>
  <c r="W61" i="2"/>
  <c r="W6" i="2"/>
  <c r="W14" i="2"/>
  <c r="W22" i="2"/>
  <c r="W30" i="2"/>
  <c r="W38" i="2"/>
  <c r="W46" i="2"/>
  <c r="W54" i="2"/>
  <c r="W62" i="2"/>
  <c r="J7" i="2"/>
  <c r="W7" i="2"/>
  <c r="W15" i="2"/>
  <c r="W23" i="2"/>
  <c r="W31" i="2"/>
  <c r="W39" i="2"/>
  <c r="W47" i="2"/>
  <c r="W55" i="2"/>
  <c r="W8" i="2"/>
  <c r="W16" i="2"/>
  <c r="W24" i="2"/>
  <c r="W32" i="2"/>
  <c r="W40" i="2"/>
  <c r="W48" i="2"/>
  <c r="W56" i="2"/>
  <c r="W9" i="2"/>
  <c r="W17" i="2"/>
  <c r="W25" i="2"/>
  <c r="W33" i="2"/>
  <c r="W41" i="2"/>
  <c r="W49" i="2"/>
  <c r="W57" i="2"/>
  <c r="W2" i="2"/>
  <c r="W10" i="2"/>
  <c r="W18" i="2"/>
  <c r="W26" i="2"/>
  <c r="W34" i="2"/>
  <c r="W42" i="2"/>
  <c r="W50" i="2"/>
  <c r="W58" i="2"/>
  <c r="W3" i="2"/>
  <c r="W11" i="2"/>
  <c r="W19" i="2"/>
  <c r="W27" i="2"/>
  <c r="W35" i="2"/>
  <c r="W43" i="2"/>
  <c r="W51" i="2"/>
  <c r="W59" i="2"/>
  <c r="E11" i="7"/>
  <c r="Q3" i="7"/>
  <c r="G4" i="7"/>
  <c r="K4" i="7" s="1"/>
  <c r="J3" i="7"/>
  <c r="W3" i="7"/>
  <c r="K2" i="7"/>
  <c r="L2" i="7" s="1"/>
  <c r="K3" i="7"/>
  <c r="I2" i="7"/>
  <c r="E11" i="5"/>
  <c r="E14" i="5"/>
  <c r="G3" i="5"/>
  <c r="I2" i="5"/>
  <c r="I4" i="2"/>
  <c r="Q4" i="2" s="1"/>
  <c r="I12" i="2"/>
  <c r="Q12" i="2" s="1"/>
  <c r="I60" i="2"/>
  <c r="Q60" i="2" s="1"/>
  <c r="J15" i="2"/>
  <c r="I20" i="2"/>
  <c r="Q20" i="2" s="1"/>
  <c r="J23" i="2"/>
  <c r="I28" i="2"/>
  <c r="Q28" i="2" s="1"/>
  <c r="J31" i="2"/>
  <c r="I36" i="2"/>
  <c r="Q36" i="2" s="1"/>
  <c r="J39" i="2"/>
  <c r="I44" i="2"/>
  <c r="Q44" i="2" s="1"/>
  <c r="J47" i="2"/>
  <c r="I52" i="2"/>
  <c r="Q52" i="2" s="1"/>
  <c r="J55" i="2"/>
  <c r="I5" i="2"/>
  <c r="Q5" i="2" s="1"/>
  <c r="I13" i="2"/>
  <c r="Q13" i="2" s="1"/>
  <c r="I21" i="2"/>
  <c r="Q21" i="2" s="1"/>
  <c r="I29" i="2"/>
  <c r="Q29" i="2" s="1"/>
  <c r="I37" i="2"/>
  <c r="Q37" i="2" s="1"/>
  <c r="I45" i="2"/>
  <c r="Q45" i="2" s="1"/>
  <c r="I53" i="2"/>
  <c r="Q53" i="2" s="1"/>
  <c r="I61" i="2"/>
  <c r="Q61" i="2" s="1"/>
  <c r="J8" i="2"/>
  <c r="J16" i="2"/>
  <c r="J24" i="2"/>
  <c r="J32" i="2"/>
  <c r="J40" i="2"/>
  <c r="J48" i="2"/>
  <c r="J56" i="2"/>
  <c r="I6" i="2"/>
  <c r="Q6" i="2" s="1"/>
  <c r="I14" i="2"/>
  <c r="Q14" i="2" s="1"/>
  <c r="I22" i="2"/>
  <c r="Q22" i="2" s="1"/>
  <c r="I30" i="2"/>
  <c r="Q30" i="2" s="1"/>
  <c r="I38" i="2"/>
  <c r="Q38" i="2" s="1"/>
  <c r="I46" i="2"/>
  <c r="Q46" i="2" s="1"/>
  <c r="I54" i="2"/>
  <c r="Q54" i="2" s="1"/>
  <c r="I62" i="2"/>
  <c r="Q62" i="2" s="1"/>
  <c r="J9" i="2"/>
  <c r="J17" i="2"/>
  <c r="J25" i="2"/>
  <c r="J33" i="2"/>
  <c r="J41" i="2"/>
  <c r="J49" i="2"/>
  <c r="J57" i="2"/>
  <c r="I7" i="2"/>
  <c r="Q7" i="2" s="1"/>
  <c r="I15" i="2"/>
  <c r="Q15" i="2" s="1"/>
  <c r="I23" i="2"/>
  <c r="Q23" i="2" s="1"/>
  <c r="I31" i="2"/>
  <c r="Q31" i="2" s="1"/>
  <c r="I39" i="2"/>
  <c r="Q39" i="2" s="1"/>
  <c r="I47" i="2"/>
  <c r="Q47" i="2" s="1"/>
  <c r="I55" i="2"/>
  <c r="Q55" i="2" s="1"/>
  <c r="J2" i="2"/>
  <c r="J10" i="2"/>
  <c r="J18" i="2"/>
  <c r="J26" i="2"/>
  <c r="J34" i="2"/>
  <c r="J42" i="2"/>
  <c r="J50" i="2"/>
  <c r="J58" i="2"/>
  <c r="I8" i="2"/>
  <c r="Q8" i="2" s="1"/>
  <c r="I16" i="2"/>
  <c r="Q16" i="2" s="1"/>
  <c r="I24" i="2"/>
  <c r="Q24" i="2" s="1"/>
  <c r="I32" i="2"/>
  <c r="Q32" i="2" s="1"/>
  <c r="I40" i="2"/>
  <c r="Q40" i="2" s="1"/>
  <c r="I48" i="2"/>
  <c r="Q48" i="2" s="1"/>
  <c r="I56" i="2"/>
  <c r="Q56" i="2" s="1"/>
  <c r="J3" i="2"/>
  <c r="J11" i="2"/>
  <c r="J19" i="2"/>
  <c r="J27" i="2"/>
  <c r="J35" i="2"/>
  <c r="J43" i="2"/>
  <c r="J51" i="2"/>
  <c r="J59" i="2"/>
  <c r="I9" i="2"/>
  <c r="Q9" i="2" s="1"/>
  <c r="I17" i="2"/>
  <c r="Q17" i="2" s="1"/>
  <c r="I25" i="2"/>
  <c r="Q25" i="2" s="1"/>
  <c r="I33" i="2"/>
  <c r="Q33" i="2" s="1"/>
  <c r="I41" i="2"/>
  <c r="Q41" i="2" s="1"/>
  <c r="I49" i="2"/>
  <c r="Q49" i="2" s="1"/>
  <c r="I57" i="2"/>
  <c r="Q57" i="2" s="1"/>
  <c r="J4" i="2"/>
  <c r="J12" i="2"/>
  <c r="J20" i="2"/>
  <c r="J28" i="2"/>
  <c r="J36" i="2"/>
  <c r="J44" i="2"/>
  <c r="J52" i="2"/>
  <c r="J60" i="2"/>
  <c r="I2" i="2"/>
  <c r="Q2" i="2" s="1"/>
  <c r="I10" i="2"/>
  <c r="Q10" i="2" s="1"/>
  <c r="I18" i="2"/>
  <c r="Q18" i="2" s="1"/>
  <c r="I26" i="2"/>
  <c r="Q26" i="2" s="1"/>
  <c r="I34" i="2"/>
  <c r="Q34" i="2" s="1"/>
  <c r="I42" i="2"/>
  <c r="Q42" i="2" s="1"/>
  <c r="I50" i="2"/>
  <c r="Q50" i="2" s="1"/>
  <c r="I58" i="2"/>
  <c r="Q58" i="2" s="1"/>
  <c r="J5" i="2"/>
  <c r="J13" i="2"/>
  <c r="J21" i="2"/>
  <c r="J29" i="2"/>
  <c r="J37" i="2"/>
  <c r="J45" i="2"/>
  <c r="J53" i="2"/>
  <c r="J61" i="2"/>
  <c r="I3" i="2"/>
  <c r="Q3" i="2" s="1"/>
  <c r="I11" i="2"/>
  <c r="Q11" i="2" s="1"/>
  <c r="I19" i="2"/>
  <c r="Q19" i="2" s="1"/>
  <c r="I27" i="2"/>
  <c r="Q27" i="2" s="1"/>
  <c r="I35" i="2"/>
  <c r="Q35" i="2" s="1"/>
  <c r="I43" i="2"/>
  <c r="Q43" i="2" s="1"/>
  <c r="I51" i="2"/>
  <c r="Q51" i="2" s="1"/>
  <c r="I59" i="2"/>
  <c r="Q59" i="2" s="1"/>
  <c r="J6" i="2"/>
  <c r="J14" i="2"/>
  <c r="J22" i="2"/>
  <c r="J30" i="2"/>
  <c r="J38" i="2"/>
  <c r="J46" i="2"/>
  <c r="J54" i="2"/>
  <c r="E11" i="2"/>
  <c r="E14" i="2"/>
  <c r="K41" i="2" s="1"/>
  <c r="L41" i="2" s="1"/>
  <c r="L3" i="7" l="1"/>
  <c r="M3" i="7" s="1"/>
  <c r="N3" i="7" s="1"/>
  <c r="Q2" i="7"/>
  <c r="M2" i="7"/>
  <c r="J4" i="7"/>
  <c r="L4" i="7" s="1"/>
  <c r="I4" i="7"/>
  <c r="G5" i="7"/>
  <c r="W4" i="7"/>
  <c r="G4" i="5"/>
  <c r="W3" i="5"/>
  <c r="J3" i="5"/>
  <c r="I3" i="5"/>
  <c r="K3" i="5"/>
  <c r="K4" i="5"/>
  <c r="K2" i="5"/>
  <c r="L2" i="5" s="1"/>
  <c r="M2" i="5" s="1"/>
  <c r="Q2" i="5"/>
  <c r="M41" i="2"/>
  <c r="K28" i="2"/>
  <c r="L28" i="2" s="1"/>
  <c r="M28" i="2" s="1"/>
  <c r="K29" i="2"/>
  <c r="L29" i="2" s="1"/>
  <c r="M29" i="2" s="1"/>
  <c r="K12" i="2"/>
  <c r="L12" i="2" s="1"/>
  <c r="M12" i="2" s="1"/>
  <c r="K4" i="2"/>
  <c r="L4" i="2" s="1"/>
  <c r="M4" i="2" s="1"/>
  <c r="K40" i="2"/>
  <c r="L40" i="2" s="1"/>
  <c r="M40" i="2" s="1"/>
  <c r="K23" i="2"/>
  <c r="L23" i="2" s="1"/>
  <c r="M23" i="2" s="1"/>
  <c r="K14" i="2"/>
  <c r="L14" i="2" s="1"/>
  <c r="M14" i="2" s="1"/>
  <c r="K5" i="2"/>
  <c r="L5" i="2" s="1"/>
  <c r="M5" i="2" s="1"/>
  <c r="K59" i="2"/>
  <c r="L59" i="2" s="1"/>
  <c r="M59" i="2" s="1"/>
  <c r="K50" i="2"/>
  <c r="L50" i="2" s="1"/>
  <c r="M50" i="2" s="1"/>
  <c r="K33" i="2"/>
  <c r="L33" i="2" s="1"/>
  <c r="M33" i="2" s="1"/>
  <c r="K8" i="2"/>
  <c r="L8" i="2" s="1"/>
  <c r="M8" i="2" s="1"/>
  <c r="K19" i="2"/>
  <c r="L19" i="2" s="1"/>
  <c r="M19" i="2" s="1"/>
  <c r="K20" i="2"/>
  <c r="L20" i="2" s="1"/>
  <c r="M20" i="2" s="1"/>
  <c r="K21" i="2"/>
  <c r="L21" i="2" s="1"/>
  <c r="M21" i="2" s="1"/>
  <c r="K13" i="2"/>
  <c r="L13" i="2" s="1"/>
  <c r="M13" i="2" s="1"/>
  <c r="K32" i="2"/>
  <c r="L32" i="2" s="1"/>
  <c r="M32" i="2" s="1"/>
  <c r="K15" i="2"/>
  <c r="L15" i="2" s="1"/>
  <c r="M15" i="2" s="1"/>
  <c r="K6" i="2"/>
  <c r="L6" i="2" s="1"/>
  <c r="M6" i="2" s="1"/>
  <c r="K60" i="2"/>
  <c r="L60" i="2" s="1"/>
  <c r="M60" i="2" s="1"/>
  <c r="K51" i="2"/>
  <c r="L51" i="2" s="1"/>
  <c r="M51" i="2" s="1"/>
  <c r="K34" i="2"/>
  <c r="L34" i="2" s="1"/>
  <c r="M34" i="2" s="1"/>
  <c r="K25" i="2"/>
  <c r="L25" i="2" s="1"/>
  <c r="M25" i="2" s="1"/>
  <c r="K54" i="2"/>
  <c r="L54" i="2" s="1"/>
  <c r="M54" i="2" s="1"/>
  <c r="K37" i="2"/>
  <c r="L37" i="2" s="1"/>
  <c r="M37" i="2" s="1"/>
  <c r="K10" i="2"/>
  <c r="L10" i="2" s="1"/>
  <c r="M10" i="2" s="1"/>
  <c r="K55" i="2"/>
  <c r="L55" i="2" s="1"/>
  <c r="M55" i="2" s="1"/>
  <c r="K38" i="2"/>
  <c r="L38" i="2" s="1"/>
  <c r="M38" i="2" s="1"/>
  <c r="K11" i="2"/>
  <c r="L11" i="2" s="1"/>
  <c r="M11" i="2" s="1"/>
  <c r="K39" i="2"/>
  <c r="L39" i="2" s="1"/>
  <c r="M39" i="2" s="1"/>
  <c r="K57" i="2"/>
  <c r="L57" i="2" s="1"/>
  <c r="M57" i="2" s="1"/>
  <c r="K31" i="2"/>
  <c r="L31" i="2" s="1"/>
  <c r="M31" i="2" s="1"/>
  <c r="K22" i="2"/>
  <c r="L22" i="2" s="1"/>
  <c r="M22" i="2" s="1"/>
  <c r="K58" i="2"/>
  <c r="L58" i="2" s="1"/>
  <c r="M58" i="2" s="1"/>
  <c r="K24" i="2"/>
  <c r="L24" i="2" s="1"/>
  <c r="M24" i="2" s="1"/>
  <c r="K7" i="2"/>
  <c r="L7" i="2" s="1"/>
  <c r="M7" i="2" s="1"/>
  <c r="K61" i="2"/>
  <c r="L61" i="2" s="1"/>
  <c r="M61" i="2" s="1"/>
  <c r="K52" i="2"/>
  <c r="L52" i="2" s="1"/>
  <c r="M52" i="2" s="1"/>
  <c r="K35" i="2"/>
  <c r="L35" i="2" s="1"/>
  <c r="M35" i="2" s="1"/>
  <c r="K26" i="2"/>
  <c r="L26" i="2" s="1"/>
  <c r="M26" i="2" s="1"/>
  <c r="K17" i="2"/>
  <c r="L17" i="2" s="1"/>
  <c r="M17" i="2" s="1"/>
  <c r="K2" i="2"/>
  <c r="L2" i="2" s="1"/>
  <c r="M2" i="2" s="1"/>
  <c r="K30" i="2"/>
  <c r="L30" i="2" s="1"/>
  <c r="M30" i="2" s="1"/>
  <c r="K3" i="2"/>
  <c r="L3" i="2" s="1"/>
  <c r="M3" i="2" s="1"/>
  <c r="K48" i="2"/>
  <c r="L48" i="2" s="1"/>
  <c r="M48" i="2" s="1"/>
  <c r="K49" i="2"/>
  <c r="L49" i="2" s="1"/>
  <c r="M49" i="2" s="1"/>
  <c r="K16" i="2"/>
  <c r="L16" i="2" s="1"/>
  <c r="M16" i="2" s="1"/>
  <c r="K62" i="2"/>
  <c r="L62" i="2" s="1"/>
  <c r="M62" i="2" s="1"/>
  <c r="K53" i="2"/>
  <c r="L53" i="2" s="1"/>
  <c r="M53" i="2" s="1"/>
  <c r="K36" i="2"/>
  <c r="L36" i="2" s="1"/>
  <c r="M36" i="2" s="1"/>
  <c r="K27" i="2"/>
  <c r="L27" i="2" s="1"/>
  <c r="M27" i="2" s="1"/>
  <c r="K18" i="2"/>
  <c r="L18" i="2" s="1"/>
  <c r="M18" i="2" s="1"/>
  <c r="K9" i="2"/>
  <c r="L9" i="2" s="1"/>
  <c r="M9" i="2" s="1"/>
  <c r="K47" i="2"/>
  <c r="L47" i="2" s="1"/>
  <c r="M47" i="2" s="1"/>
  <c r="K46" i="2"/>
  <c r="L46" i="2" s="1"/>
  <c r="M46" i="2" s="1"/>
  <c r="K45" i="2"/>
  <c r="L45" i="2" s="1"/>
  <c r="M45" i="2" s="1"/>
  <c r="K44" i="2"/>
  <c r="L44" i="2" s="1"/>
  <c r="M44" i="2" s="1"/>
  <c r="K43" i="2"/>
  <c r="L43" i="2" s="1"/>
  <c r="M43" i="2" s="1"/>
  <c r="K42" i="2"/>
  <c r="L42" i="2" s="1"/>
  <c r="M42" i="2" s="1"/>
  <c r="K56" i="2"/>
  <c r="L56" i="2" s="1"/>
  <c r="M56" i="2" s="1"/>
  <c r="N2" i="2" l="1"/>
  <c r="R2" i="2"/>
  <c r="T2" i="2" s="1"/>
  <c r="V2" i="2" s="1"/>
  <c r="Z2" i="2" s="1"/>
  <c r="AA2" i="2" s="1"/>
  <c r="N35" i="2"/>
  <c r="R35" i="2"/>
  <c r="T35" i="2" s="1"/>
  <c r="V35" i="2" s="1"/>
  <c r="Z35" i="2" s="1"/>
  <c r="AA35" i="2" s="1"/>
  <c r="N21" i="2"/>
  <c r="R21" i="2"/>
  <c r="T21" i="2" s="1"/>
  <c r="V21" i="2" s="1"/>
  <c r="Z21" i="2" s="1"/>
  <c r="AA21" i="2" s="1"/>
  <c r="N47" i="2"/>
  <c r="R47" i="2"/>
  <c r="T47" i="2" s="1"/>
  <c r="V47" i="2" s="1"/>
  <c r="Z47" i="2" s="1"/>
  <c r="AA47" i="2" s="1"/>
  <c r="N49" i="2"/>
  <c r="R49" i="2"/>
  <c r="T49" i="2" s="1"/>
  <c r="V49" i="2" s="1"/>
  <c r="Z49" i="2" s="1"/>
  <c r="AA49" i="2" s="1"/>
  <c r="N52" i="2"/>
  <c r="R52" i="2"/>
  <c r="T52" i="2" s="1"/>
  <c r="V52" i="2" s="1"/>
  <c r="Z52" i="2" s="1"/>
  <c r="AA52" i="2" s="1"/>
  <c r="N39" i="2"/>
  <c r="R39" i="2"/>
  <c r="T39" i="2" s="1"/>
  <c r="V39" i="2" s="1"/>
  <c r="Z39" i="2" s="1"/>
  <c r="AA39" i="2" s="1"/>
  <c r="N34" i="2"/>
  <c r="R34" i="2"/>
  <c r="T34" i="2" s="1"/>
  <c r="V34" i="2" s="1"/>
  <c r="Z34" i="2" s="1"/>
  <c r="AA34" i="2" s="1"/>
  <c r="N20" i="2"/>
  <c r="R20" i="2"/>
  <c r="T20" i="2" s="1"/>
  <c r="V20" i="2" s="1"/>
  <c r="Z20" i="2" s="1"/>
  <c r="AA20" i="2" s="1"/>
  <c r="N23" i="2"/>
  <c r="R23" i="2"/>
  <c r="T23" i="2" s="1"/>
  <c r="V23" i="2" s="1"/>
  <c r="Z23" i="2" s="1"/>
  <c r="AA23" i="2" s="1"/>
  <c r="N58" i="2"/>
  <c r="R58" i="2"/>
  <c r="T58" i="2" s="1"/>
  <c r="V58" i="2" s="1"/>
  <c r="Z58" i="2" s="1"/>
  <c r="AA58" i="2" s="1"/>
  <c r="N16" i="2"/>
  <c r="R16" i="2"/>
  <c r="T16" i="2" s="1"/>
  <c r="V16" i="2" s="1"/>
  <c r="Z16" i="2" s="1"/>
  <c r="AA16" i="2" s="1"/>
  <c r="N25" i="2"/>
  <c r="R25" i="2"/>
  <c r="T25" i="2" s="1"/>
  <c r="V25" i="2" s="1"/>
  <c r="Z25" i="2" s="1"/>
  <c r="AA25" i="2" s="1"/>
  <c r="N48" i="2"/>
  <c r="R48" i="2"/>
  <c r="T48" i="2" s="1"/>
  <c r="V48" i="2" s="1"/>
  <c r="Z48" i="2" s="1"/>
  <c r="AA48" i="2" s="1"/>
  <c r="N61" i="2"/>
  <c r="R61" i="2"/>
  <c r="T61" i="2" s="1"/>
  <c r="V61" i="2" s="1"/>
  <c r="Z61" i="2" s="1"/>
  <c r="AA61" i="2" s="1"/>
  <c r="N11" i="2"/>
  <c r="R11" i="2"/>
  <c r="T11" i="2" s="1"/>
  <c r="V11" i="2" s="1"/>
  <c r="Z11" i="2" s="1"/>
  <c r="AA11" i="2" s="1"/>
  <c r="N51" i="2"/>
  <c r="R51" i="2"/>
  <c r="T51" i="2" s="1"/>
  <c r="V51" i="2" s="1"/>
  <c r="Z51" i="2" s="1"/>
  <c r="AA51" i="2" s="1"/>
  <c r="N19" i="2"/>
  <c r="R19" i="2"/>
  <c r="T19" i="2" s="1"/>
  <c r="V19" i="2" s="1"/>
  <c r="Z19" i="2" s="1"/>
  <c r="AA19" i="2" s="1"/>
  <c r="N40" i="2"/>
  <c r="R40" i="2"/>
  <c r="T40" i="2" s="1"/>
  <c r="V40" i="2" s="1"/>
  <c r="Z40" i="2" s="1"/>
  <c r="AA40" i="2" s="1"/>
  <c r="N43" i="2"/>
  <c r="R43" i="2"/>
  <c r="T43" i="2" s="1"/>
  <c r="V43" i="2" s="1"/>
  <c r="Z43" i="2" s="1"/>
  <c r="AA43" i="2" s="1"/>
  <c r="N46" i="2"/>
  <c r="R46" i="2"/>
  <c r="T46" i="2" s="1"/>
  <c r="V46" i="2" s="1"/>
  <c r="Z46" i="2" s="1"/>
  <c r="AA46" i="2" s="1"/>
  <c r="N57" i="2"/>
  <c r="R57" i="2"/>
  <c r="T57" i="2" s="1"/>
  <c r="V57" i="2" s="1"/>
  <c r="Z57" i="2" s="1"/>
  <c r="AA57" i="2" s="1"/>
  <c r="N14" i="2"/>
  <c r="R14" i="2"/>
  <c r="T14" i="2" s="1"/>
  <c r="V14" i="2" s="1"/>
  <c r="Z14" i="2" s="1"/>
  <c r="AA14" i="2" s="1"/>
  <c r="N9" i="2"/>
  <c r="R9" i="2"/>
  <c r="T9" i="2" s="1"/>
  <c r="V9" i="2" s="1"/>
  <c r="Z9" i="2" s="1"/>
  <c r="AA9" i="2" s="1"/>
  <c r="N56" i="2"/>
  <c r="R56" i="2"/>
  <c r="T56" i="2" s="1"/>
  <c r="V56" i="2" s="1"/>
  <c r="Z56" i="2" s="1"/>
  <c r="AA56" i="2" s="1"/>
  <c r="N18" i="2"/>
  <c r="R18" i="2"/>
  <c r="T18" i="2" s="1"/>
  <c r="V18" i="2" s="1"/>
  <c r="Z18" i="2" s="1"/>
  <c r="AA18" i="2" s="1"/>
  <c r="N3" i="2"/>
  <c r="R3" i="2"/>
  <c r="T3" i="2" s="1"/>
  <c r="V3" i="2" s="1"/>
  <c r="Z3" i="2" s="1"/>
  <c r="AA3" i="2" s="1"/>
  <c r="N7" i="2"/>
  <c r="R7" i="2"/>
  <c r="T7" i="2" s="1"/>
  <c r="V7" i="2" s="1"/>
  <c r="Z7" i="2" s="1"/>
  <c r="AA7" i="2" s="1"/>
  <c r="N38" i="2"/>
  <c r="R38" i="2"/>
  <c r="T38" i="2" s="1"/>
  <c r="V38" i="2" s="1"/>
  <c r="Z38" i="2" s="1"/>
  <c r="AA38" i="2" s="1"/>
  <c r="N60" i="2"/>
  <c r="R60" i="2"/>
  <c r="T60" i="2" s="1"/>
  <c r="V60" i="2" s="1"/>
  <c r="Z60" i="2" s="1"/>
  <c r="AA60" i="2" s="1"/>
  <c r="N8" i="2"/>
  <c r="R8" i="2"/>
  <c r="T8" i="2" s="1"/>
  <c r="V8" i="2" s="1"/>
  <c r="Z8" i="2" s="1"/>
  <c r="AA8" i="2" s="1"/>
  <c r="N4" i="2"/>
  <c r="R4" i="2"/>
  <c r="T4" i="2" s="1"/>
  <c r="V4" i="2" s="1"/>
  <c r="Z4" i="2" s="1"/>
  <c r="AA4" i="2" s="1"/>
  <c r="N42" i="2"/>
  <c r="R42" i="2"/>
  <c r="T42" i="2" s="1"/>
  <c r="V42" i="2" s="1"/>
  <c r="Z42" i="2" s="1"/>
  <c r="AA42" i="2" s="1"/>
  <c r="N27" i="2"/>
  <c r="R27" i="2"/>
  <c r="T27" i="2" s="1"/>
  <c r="V27" i="2" s="1"/>
  <c r="Z27" i="2" s="1"/>
  <c r="AA27" i="2" s="1"/>
  <c r="N30" i="2"/>
  <c r="R30" i="2"/>
  <c r="T30" i="2" s="1"/>
  <c r="V30" i="2" s="1"/>
  <c r="Z30" i="2" s="1"/>
  <c r="AA30" i="2" s="1"/>
  <c r="N24" i="2"/>
  <c r="R24" i="2"/>
  <c r="T24" i="2" s="1"/>
  <c r="V24" i="2" s="1"/>
  <c r="Z24" i="2" s="1"/>
  <c r="AA24" i="2" s="1"/>
  <c r="N55" i="2"/>
  <c r="R55" i="2"/>
  <c r="T55" i="2" s="1"/>
  <c r="V55" i="2" s="1"/>
  <c r="Z55" i="2" s="1"/>
  <c r="AA55" i="2" s="1"/>
  <c r="N6" i="2"/>
  <c r="R6" i="2"/>
  <c r="T6" i="2" s="1"/>
  <c r="V6" i="2" s="1"/>
  <c r="Z6" i="2" s="1"/>
  <c r="AA6" i="2" s="1"/>
  <c r="N33" i="2"/>
  <c r="R33" i="2"/>
  <c r="T33" i="2" s="1"/>
  <c r="V33" i="2" s="1"/>
  <c r="Z33" i="2" s="1"/>
  <c r="AA33" i="2" s="1"/>
  <c r="N12" i="2"/>
  <c r="R12" i="2"/>
  <c r="T12" i="2" s="1"/>
  <c r="V12" i="2" s="1"/>
  <c r="Z12" i="2" s="1"/>
  <c r="AA12" i="2" s="1"/>
  <c r="N29" i="2"/>
  <c r="R29" i="2"/>
  <c r="T29" i="2" s="1"/>
  <c r="V29" i="2" s="1"/>
  <c r="Z29" i="2" s="1"/>
  <c r="AA29" i="2" s="1"/>
  <c r="N28" i="2"/>
  <c r="R28" i="2"/>
  <c r="T28" i="2" s="1"/>
  <c r="V28" i="2" s="1"/>
  <c r="Z28" i="2" s="1"/>
  <c r="AA28" i="2" s="1"/>
  <c r="N36" i="2"/>
  <c r="R36" i="2"/>
  <c r="T36" i="2" s="1"/>
  <c r="V36" i="2" s="1"/>
  <c r="Z36" i="2" s="1"/>
  <c r="AA36" i="2" s="1"/>
  <c r="N10" i="2"/>
  <c r="R10" i="2"/>
  <c r="T10" i="2" s="1"/>
  <c r="V10" i="2" s="1"/>
  <c r="Z10" i="2" s="1"/>
  <c r="AA10" i="2" s="1"/>
  <c r="N15" i="2"/>
  <c r="R15" i="2"/>
  <c r="T15" i="2" s="1"/>
  <c r="V15" i="2" s="1"/>
  <c r="Z15" i="2" s="1"/>
  <c r="AA15" i="2" s="1"/>
  <c r="N50" i="2"/>
  <c r="R50" i="2"/>
  <c r="T50" i="2" s="1"/>
  <c r="V50" i="2" s="1"/>
  <c r="Z50" i="2" s="1"/>
  <c r="AA50" i="2" s="1"/>
  <c r="N44" i="2"/>
  <c r="R44" i="2"/>
  <c r="T44" i="2" s="1"/>
  <c r="V44" i="2" s="1"/>
  <c r="Z44" i="2" s="1"/>
  <c r="AA44" i="2" s="1"/>
  <c r="N53" i="2"/>
  <c r="R53" i="2"/>
  <c r="T53" i="2" s="1"/>
  <c r="V53" i="2" s="1"/>
  <c r="Z53" i="2" s="1"/>
  <c r="AA53" i="2" s="1"/>
  <c r="N17" i="2"/>
  <c r="R17" i="2"/>
  <c r="T17" i="2" s="1"/>
  <c r="V17" i="2" s="1"/>
  <c r="Z17" i="2" s="1"/>
  <c r="AA17" i="2" s="1"/>
  <c r="N22" i="2"/>
  <c r="R22" i="2"/>
  <c r="T22" i="2" s="1"/>
  <c r="V22" i="2" s="1"/>
  <c r="Z22" i="2" s="1"/>
  <c r="AA22" i="2" s="1"/>
  <c r="N37" i="2"/>
  <c r="R37" i="2"/>
  <c r="T37" i="2" s="1"/>
  <c r="V37" i="2" s="1"/>
  <c r="Z37" i="2" s="1"/>
  <c r="AA37" i="2" s="1"/>
  <c r="N32" i="2"/>
  <c r="R32" i="2"/>
  <c r="T32" i="2" s="1"/>
  <c r="V32" i="2" s="1"/>
  <c r="Z32" i="2" s="1"/>
  <c r="AA32" i="2" s="1"/>
  <c r="N59" i="2"/>
  <c r="R59" i="2"/>
  <c r="T59" i="2" s="1"/>
  <c r="V59" i="2" s="1"/>
  <c r="Z59" i="2" s="1"/>
  <c r="AA59" i="2" s="1"/>
  <c r="N45" i="2"/>
  <c r="R45" i="2"/>
  <c r="T45" i="2" s="1"/>
  <c r="V45" i="2" s="1"/>
  <c r="Z45" i="2" s="1"/>
  <c r="AA45" i="2" s="1"/>
  <c r="N62" i="2"/>
  <c r="R62" i="2"/>
  <c r="T62" i="2" s="1"/>
  <c r="V62" i="2" s="1"/>
  <c r="Z62" i="2" s="1"/>
  <c r="AA62" i="2" s="1"/>
  <c r="N26" i="2"/>
  <c r="R26" i="2"/>
  <c r="T26" i="2" s="1"/>
  <c r="V26" i="2" s="1"/>
  <c r="Z26" i="2" s="1"/>
  <c r="AA26" i="2" s="1"/>
  <c r="N31" i="2"/>
  <c r="R31" i="2"/>
  <c r="T31" i="2" s="1"/>
  <c r="V31" i="2" s="1"/>
  <c r="Z31" i="2" s="1"/>
  <c r="AA31" i="2" s="1"/>
  <c r="N54" i="2"/>
  <c r="R54" i="2"/>
  <c r="T54" i="2" s="1"/>
  <c r="V54" i="2" s="1"/>
  <c r="Z54" i="2" s="1"/>
  <c r="AA54" i="2" s="1"/>
  <c r="N13" i="2"/>
  <c r="R13" i="2"/>
  <c r="T13" i="2" s="1"/>
  <c r="V13" i="2" s="1"/>
  <c r="Z13" i="2" s="1"/>
  <c r="AA13" i="2" s="1"/>
  <c r="N5" i="2"/>
  <c r="R5" i="2"/>
  <c r="T5" i="2" s="1"/>
  <c r="V5" i="2" s="1"/>
  <c r="Z5" i="2" s="1"/>
  <c r="AA5" i="2" s="1"/>
  <c r="N41" i="2"/>
  <c r="R41" i="2"/>
  <c r="T41" i="2" s="1"/>
  <c r="V41" i="2" s="1"/>
  <c r="Z41" i="2" s="1"/>
  <c r="AA41" i="2" s="1"/>
  <c r="R3" i="7"/>
  <c r="T3" i="7" s="1"/>
  <c r="V3" i="7" s="1"/>
  <c r="Z3" i="7" s="1"/>
  <c r="AA3" i="7" s="1"/>
  <c r="W5" i="7"/>
  <c r="J5" i="7"/>
  <c r="I5" i="7"/>
  <c r="G6" i="7"/>
  <c r="K5" i="7"/>
  <c r="Q4" i="7"/>
  <c r="M4" i="7"/>
  <c r="R2" i="7"/>
  <c r="T2" i="7" s="1"/>
  <c r="V2" i="7" s="1"/>
  <c r="Z2" i="7" s="1"/>
  <c r="AA2" i="7" s="1"/>
  <c r="N2" i="7"/>
  <c r="Q3" i="5"/>
  <c r="R2" i="5"/>
  <c r="T2" i="5" s="1"/>
  <c r="V2" i="5" s="1"/>
  <c r="Z2" i="5" s="1"/>
  <c r="AA2" i="5" s="1"/>
  <c r="N2" i="5"/>
  <c r="L3" i="5"/>
  <c r="M3" i="5" s="1"/>
  <c r="G5" i="5"/>
  <c r="W4" i="5"/>
  <c r="J4" i="5"/>
  <c r="L4" i="5" s="1"/>
  <c r="I4" i="5"/>
  <c r="Y10" i="2" l="1"/>
  <c r="L5" i="7"/>
  <c r="M5" i="7" s="1"/>
  <c r="R4" i="7"/>
  <c r="T4" i="7" s="1"/>
  <c r="V4" i="7" s="1"/>
  <c r="Z4" i="7" s="1"/>
  <c r="AA4" i="7" s="1"/>
  <c r="N4" i="7"/>
  <c r="G7" i="7"/>
  <c r="W6" i="7"/>
  <c r="J6" i="7"/>
  <c r="I6" i="7"/>
  <c r="K6" i="7"/>
  <c r="Q5" i="7"/>
  <c r="R3" i="5"/>
  <c r="T3" i="5" s="1"/>
  <c r="V3" i="5" s="1"/>
  <c r="Z3" i="5" s="1"/>
  <c r="AA3" i="5" s="1"/>
  <c r="N3" i="5"/>
  <c r="J5" i="5"/>
  <c r="I5" i="5"/>
  <c r="G6" i="5"/>
  <c r="W5" i="5"/>
  <c r="K5" i="5"/>
  <c r="Q4" i="5"/>
  <c r="M4" i="5"/>
  <c r="L6" i="7" l="1"/>
  <c r="M6" i="7" s="1"/>
  <c r="Q6" i="7"/>
  <c r="J7" i="7"/>
  <c r="G8" i="7"/>
  <c r="I7" i="7"/>
  <c r="W7" i="7"/>
  <c r="K7" i="7"/>
  <c r="R5" i="7"/>
  <c r="T5" i="7" s="1"/>
  <c r="V5" i="7" s="1"/>
  <c r="Z5" i="7" s="1"/>
  <c r="AA5" i="7" s="1"/>
  <c r="N5" i="7"/>
  <c r="Q5" i="5"/>
  <c r="G7" i="5"/>
  <c r="W6" i="5"/>
  <c r="J6" i="5"/>
  <c r="I6" i="5"/>
  <c r="K6" i="5"/>
  <c r="L5" i="5"/>
  <c r="M5" i="5" s="1"/>
  <c r="N4" i="5"/>
  <c r="R4" i="5"/>
  <c r="T4" i="5" s="1"/>
  <c r="V4" i="5" s="1"/>
  <c r="Z4" i="5" s="1"/>
  <c r="AA4" i="5" s="1"/>
  <c r="Q7" i="7" l="1"/>
  <c r="W8" i="7"/>
  <c r="J8" i="7"/>
  <c r="G9" i="7"/>
  <c r="I8" i="7"/>
  <c r="K8" i="7"/>
  <c r="L7" i="7"/>
  <c r="M7" i="7" s="1"/>
  <c r="N6" i="7"/>
  <c r="R6" i="7"/>
  <c r="T6" i="7" s="1"/>
  <c r="V6" i="7" s="1"/>
  <c r="Z6" i="7" s="1"/>
  <c r="AA6" i="7" s="1"/>
  <c r="Q6" i="5"/>
  <c r="L6" i="5"/>
  <c r="M6" i="5" s="1"/>
  <c r="G8" i="5"/>
  <c r="J7" i="5"/>
  <c r="W7" i="5"/>
  <c r="I7" i="5"/>
  <c r="K7" i="5"/>
  <c r="R5" i="5"/>
  <c r="T5" i="5" s="1"/>
  <c r="V5" i="5" s="1"/>
  <c r="Z5" i="5" s="1"/>
  <c r="AA5" i="5" s="1"/>
  <c r="N5" i="5"/>
  <c r="R7" i="7" l="1"/>
  <c r="T7" i="7" s="1"/>
  <c r="V7" i="7" s="1"/>
  <c r="Z7" i="7" s="1"/>
  <c r="AA7" i="7" s="1"/>
  <c r="N7" i="7"/>
  <c r="L8" i="7"/>
  <c r="M8" i="7" s="1"/>
  <c r="Q8" i="7"/>
  <c r="G10" i="7"/>
  <c r="I9" i="7"/>
  <c r="W9" i="7"/>
  <c r="J9" i="7"/>
  <c r="K9" i="7"/>
  <c r="R6" i="5"/>
  <c r="T6" i="5" s="1"/>
  <c r="V6" i="5" s="1"/>
  <c r="Z6" i="5" s="1"/>
  <c r="AA6" i="5" s="1"/>
  <c r="N6" i="5"/>
  <c r="Q7" i="5"/>
  <c r="L7" i="5"/>
  <c r="M7" i="5" s="1"/>
  <c r="J8" i="5"/>
  <c r="G9" i="5"/>
  <c r="W8" i="5"/>
  <c r="I8" i="5"/>
  <c r="K8" i="5"/>
  <c r="L9" i="7" l="1"/>
  <c r="M9" i="7" s="1"/>
  <c r="Q9" i="7"/>
  <c r="J10" i="7"/>
  <c r="I10" i="7"/>
  <c r="W10" i="7"/>
  <c r="G11" i="7"/>
  <c r="K10" i="7"/>
  <c r="N8" i="7"/>
  <c r="R8" i="7"/>
  <c r="T8" i="7" s="1"/>
  <c r="V8" i="7" s="1"/>
  <c r="Z8" i="7" s="1"/>
  <c r="AA8" i="7" s="1"/>
  <c r="L8" i="5"/>
  <c r="R7" i="5"/>
  <c r="T7" i="5" s="1"/>
  <c r="V7" i="5" s="1"/>
  <c r="Z7" i="5" s="1"/>
  <c r="AA7" i="5" s="1"/>
  <c r="N7" i="5"/>
  <c r="G10" i="5"/>
  <c r="W9" i="5"/>
  <c r="J9" i="5"/>
  <c r="I9" i="5"/>
  <c r="K9" i="5"/>
  <c r="M8" i="5"/>
  <c r="Q8" i="5"/>
  <c r="W11" i="7" l="1"/>
  <c r="J11" i="7"/>
  <c r="I11" i="7"/>
  <c r="G12" i="7"/>
  <c r="K11" i="7"/>
  <c r="Q10" i="7"/>
  <c r="L10" i="7"/>
  <c r="M10" i="7" s="1"/>
  <c r="N9" i="7"/>
  <c r="R9" i="7"/>
  <c r="T9" i="7" s="1"/>
  <c r="V9" i="7" s="1"/>
  <c r="Z9" i="7" s="1"/>
  <c r="AA9" i="7" s="1"/>
  <c r="L9" i="5"/>
  <c r="M9" i="5" s="1"/>
  <c r="Q9" i="5"/>
  <c r="J10" i="5"/>
  <c r="W10" i="5"/>
  <c r="I10" i="5"/>
  <c r="G11" i="5"/>
  <c r="K10" i="5"/>
  <c r="N8" i="5"/>
  <c r="R8" i="5"/>
  <c r="T8" i="5" s="1"/>
  <c r="V8" i="5" s="1"/>
  <c r="Z8" i="5" s="1"/>
  <c r="AA8" i="5" s="1"/>
  <c r="G13" i="7" l="1"/>
  <c r="W12" i="7"/>
  <c r="J12" i="7"/>
  <c r="I12" i="7"/>
  <c r="K12" i="7"/>
  <c r="L11" i="7"/>
  <c r="M11" i="7" s="1"/>
  <c r="R10" i="7"/>
  <c r="T10" i="7" s="1"/>
  <c r="V10" i="7" s="1"/>
  <c r="Z10" i="7" s="1"/>
  <c r="AA10" i="7" s="1"/>
  <c r="N10" i="7"/>
  <c r="Q11" i="7"/>
  <c r="J11" i="5"/>
  <c r="G12" i="5"/>
  <c r="I11" i="5"/>
  <c r="W11" i="5"/>
  <c r="K11" i="5"/>
  <c r="Q10" i="5"/>
  <c r="L10" i="5"/>
  <c r="M10" i="5" s="1"/>
  <c r="R9" i="5"/>
  <c r="T9" i="5" s="1"/>
  <c r="V9" i="5" s="1"/>
  <c r="Z9" i="5" s="1"/>
  <c r="AA9" i="5" s="1"/>
  <c r="Y10" i="5" s="1"/>
  <c r="N9" i="5"/>
  <c r="R11" i="7" l="1"/>
  <c r="T11" i="7" s="1"/>
  <c r="V11" i="7" s="1"/>
  <c r="Z11" i="7" s="1"/>
  <c r="AA11" i="7" s="1"/>
  <c r="N11" i="7"/>
  <c r="L12" i="7"/>
  <c r="M12" i="7" s="1"/>
  <c r="J13" i="7"/>
  <c r="I13" i="7"/>
  <c r="G14" i="7"/>
  <c r="W13" i="7"/>
  <c r="K13" i="7"/>
  <c r="Q12" i="7"/>
  <c r="R10" i="5"/>
  <c r="T10" i="5" s="1"/>
  <c r="V10" i="5" s="1"/>
  <c r="Z10" i="5" s="1"/>
  <c r="AA10" i="5" s="1"/>
  <c r="N10" i="5"/>
  <c r="Q11" i="5"/>
  <c r="G13" i="5"/>
  <c r="W12" i="5"/>
  <c r="J12" i="5"/>
  <c r="I12" i="5"/>
  <c r="K12" i="5"/>
  <c r="L11" i="5"/>
  <c r="M11" i="5" s="1"/>
  <c r="L13" i="7" l="1"/>
  <c r="M13" i="7" s="1"/>
  <c r="N12" i="7"/>
  <c r="R12" i="7"/>
  <c r="T12" i="7" s="1"/>
  <c r="V12" i="7" s="1"/>
  <c r="Z12" i="7" s="1"/>
  <c r="AA12" i="7" s="1"/>
  <c r="W14" i="7"/>
  <c r="J14" i="7"/>
  <c r="I14" i="7"/>
  <c r="G15" i="7"/>
  <c r="K14" i="7"/>
  <c r="Q13" i="7"/>
  <c r="L12" i="5"/>
  <c r="G14" i="5"/>
  <c r="J13" i="5"/>
  <c r="W13" i="5"/>
  <c r="I13" i="5"/>
  <c r="K13" i="5"/>
  <c r="R11" i="5"/>
  <c r="T11" i="5" s="1"/>
  <c r="V11" i="5" s="1"/>
  <c r="Z11" i="5" s="1"/>
  <c r="AA11" i="5" s="1"/>
  <c r="N11" i="5"/>
  <c r="M12" i="5"/>
  <c r="Q12" i="5"/>
  <c r="G16" i="7" l="1"/>
  <c r="W15" i="7"/>
  <c r="J15" i="7"/>
  <c r="I15" i="7"/>
  <c r="K15" i="7"/>
  <c r="Q14" i="7"/>
  <c r="L14" i="7"/>
  <c r="M14" i="7" s="1"/>
  <c r="R13" i="7"/>
  <c r="T13" i="7" s="1"/>
  <c r="V13" i="7" s="1"/>
  <c r="Z13" i="7" s="1"/>
  <c r="AA13" i="7" s="1"/>
  <c r="N13" i="7"/>
  <c r="Q13" i="5"/>
  <c r="L13" i="5"/>
  <c r="M13" i="5" s="1"/>
  <c r="N12" i="5"/>
  <c r="R12" i="5"/>
  <c r="T12" i="5" s="1"/>
  <c r="V12" i="5" s="1"/>
  <c r="Z12" i="5" s="1"/>
  <c r="AA12" i="5" s="1"/>
  <c r="J14" i="5"/>
  <c r="G15" i="5"/>
  <c r="W14" i="5"/>
  <c r="I14" i="5"/>
  <c r="K14" i="5"/>
  <c r="N14" i="7" l="1"/>
  <c r="R14" i="7"/>
  <c r="T14" i="7"/>
  <c r="V14" i="7" s="1"/>
  <c r="Z14" i="7" s="1"/>
  <c r="AA14" i="7" s="1"/>
  <c r="Q15" i="7"/>
  <c r="L15" i="7"/>
  <c r="M15" i="7" s="1"/>
  <c r="J16" i="7"/>
  <c r="L16" i="7" s="1"/>
  <c r="I16" i="7"/>
  <c r="G17" i="7"/>
  <c r="W16" i="7"/>
  <c r="K16" i="7"/>
  <c r="L14" i="5"/>
  <c r="R13" i="5"/>
  <c r="T13" i="5" s="1"/>
  <c r="V13" i="5" s="1"/>
  <c r="Z13" i="5" s="1"/>
  <c r="AA13" i="5" s="1"/>
  <c r="N13" i="5"/>
  <c r="G16" i="5"/>
  <c r="J15" i="5"/>
  <c r="W15" i="5"/>
  <c r="I15" i="5"/>
  <c r="K15" i="5"/>
  <c r="M14" i="5"/>
  <c r="Q14" i="5"/>
  <c r="N15" i="7" l="1"/>
  <c r="R15" i="7"/>
  <c r="T15" i="7" s="1"/>
  <c r="V15" i="7" s="1"/>
  <c r="Z15" i="7" s="1"/>
  <c r="AA15" i="7" s="1"/>
  <c r="Q16" i="7"/>
  <c r="M16" i="7"/>
  <c r="G18" i="7"/>
  <c r="W17" i="7"/>
  <c r="J17" i="7"/>
  <c r="L17" i="7" s="1"/>
  <c r="I17" i="7"/>
  <c r="K17" i="7"/>
  <c r="R14" i="5"/>
  <c r="T14" i="5" s="1"/>
  <c r="V14" i="5" s="1"/>
  <c r="Z14" i="5" s="1"/>
  <c r="AA14" i="5" s="1"/>
  <c r="N14" i="5"/>
  <c r="Q15" i="5"/>
  <c r="L15" i="5"/>
  <c r="M15" i="5" s="1"/>
  <c r="G17" i="5"/>
  <c r="W16" i="5"/>
  <c r="J16" i="5"/>
  <c r="I16" i="5"/>
  <c r="K16" i="5"/>
  <c r="G19" i="7" l="1"/>
  <c r="W18" i="7"/>
  <c r="J18" i="7"/>
  <c r="I18" i="7"/>
  <c r="K18" i="7"/>
  <c r="R16" i="7"/>
  <c r="T16" i="7" s="1"/>
  <c r="V16" i="7" s="1"/>
  <c r="Z16" i="7" s="1"/>
  <c r="AA16" i="7" s="1"/>
  <c r="N16" i="7"/>
  <c r="M17" i="7"/>
  <c r="Q17" i="7"/>
  <c r="L16" i="5"/>
  <c r="M16" i="5" s="1"/>
  <c r="W17" i="5"/>
  <c r="J17" i="5"/>
  <c r="G18" i="5"/>
  <c r="I17" i="5"/>
  <c r="K17" i="5"/>
  <c r="R15" i="5"/>
  <c r="T15" i="5" s="1"/>
  <c r="V15" i="5" s="1"/>
  <c r="Z15" i="5" s="1"/>
  <c r="AA15" i="5" s="1"/>
  <c r="N15" i="5"/>
  <c r="Q16" i="5"/>
  <c r="Q18" i="7" l="1"/>
  <c r="L18" i="7"/>
  <c r="M18" i="7" s="1"/>
  <c r="N17" i="7"/>
  <c r="R17" i="7"/>
  <c r="T17" i="7" s="1"/>
  <c r="V17" i="7" s="1"/>
  <c r="Z17" i="7" s="1"/>
  <c r="AA17" i="7" s="1"/>
  <c r="J19" i="7"/>
  <c r="I19" i="7"/>
  <c r="G20" i="7"/>
  <c r="W19" i="7"/>
  <c r="K19" i="7"/>
  <c r="L17" i="5"/>
  <c r="M17" i="5" s="1"/>
  <c r="Q17" i="5"/>
  <c r="I18" i="5"/>
  <c r="W18" i="5"/>
  <c r="J18" i="5"/>
  <c r="G19" i="5"/>
  <c r="K18" i="5"/>
  <c r="R16" i="5"/>
  <c r="T16" i="5" s="1"/>
  <c r="V16" i="5" s="1"/>
  <c r="Z16" i="5" s="1"/>
  <c r="AA16" i="5" s="1"/>
  <c r="N16" i="5"/>
  <c r="L19" i="7" l="1"/>
  <c r="N18" i="7"/>
  <c r="R18" i="7"/>
  <c r="T18" i="7" s="1"/>
  <c r="V18" i="7" s="1"/>
  <c r="Z18" i="7" s="1"/>
  <c r="AA18" i="7" s="1"/>
  <c r="Q19" i="7"/>
  <c r="M19" i="7"/>
  <c r="G21" i="7"/>
  <c r="W20" i="7"/>
  <c r="J20" i="7"/>
  <c r="L20" i="7" s="1"/>
  <c r="I20" i="7"/>
  <c r="K20" i="7"/>
  <c r="I19" i="5"/>
  <c r="W19" i="5"/>
  <c r="J19" i="5"/>
  <c r="G20" i="5"/>
  <c r="K19" i="5"/>
  <c r="L18" i="5"/>
  <c r="M18" i="5" s="1"/>
  <c r="Q18" i="5"/>
  <c r="N17" i="5"/>
  <c r="R17" i="5"/>
  <c r="T17" i="5" s="1"/>
  <c r="V17" i="5" s="1"/>
  <c r="Z17" i="5" s="1"/>
  <c r="AA17" i="5" s="1"/>
  <c r="M20" i="7" l="1"/>
  <c r="Q20" i="7"/>
  <c r="I21" i="7"/>
  <c r="G22" i="7"/>
  <c r="W21" i="7"/>
  <c r="J21" i="7"/>
  <c r="K21" i="7"/>
  <c r="R19" i="7"/>
  <c r="T19" i="7" s="1"/>
  <c r="V19" i="7" s="1"/>
  <c r="Z19" i="7" s="1"/>
  <c r="AA19" i="7" s="1"/>
  <c r="N19" i="7"/>
  <c r="N18" i="5"/>
  <c r="R18" i="5"/>
  <c r="T18" i="5" s="1"/>
  <c r="V18" i="5" s="1"/>
  <c r="Z18" i="5" s="1"/>
  <c r="AA18" i="5" s="1"/>
  <c r="W20" i="5"/>
  <c r="I20" i="5"/>
  <c r="G21" i="5"/>
  <c r="J20" i="5"/>
  <c r="K20" i="5"/>
  <c r="L19" i="5"/>
  <c r="M19" i="5" s="1"/>
  <c r="Q19" i="5"/>
  <c r="L21" i="7" l="1"/>
  <c r="W22" i="7"/>
  <c r="J22" i="7"/>
  <c r="G23" i="7"/>
  <c r="I22" i="7"/>
  <c r="K22" i="7"/>
  <c r="Q21" i="7"/>
  <c r="M21" i="7"/>
  <c r="N20" i="7"/>
  <c r="R20" i="7"/>
  <c r="T20" i="7" s="1"/>
  <c r="V20" i="7" s="1"/>
  <c r="Z20" i="7" s="1"/>
  <c r="AA20" i="7" s="1"/>
  <c r="L20" i="5"/>
  <c r="M20" i="5" s="1"/>
  <c r="W21" i="5"/>
  <c r="J21" i="5"/>
  <c r="G22" i="5"/>
  <c r="I21" i="5"/>
  <c r="K21" i="5"/>
  <c r="Q20" i="5"/>
  <c r="R19" i="5"/>
  <c r="T19" i="5" s="1"/>
  <c r="V19" i="5" s="1"/>
  <c r="Z19" i="5" s="1"/>
  <c r="AA19" i="5" s="1"/>
  <c r="N19" i="5"/>
  <c r="R21" i="7" l="1"/>
  <c r="T21" i="7" s="1"/>
  <c r="V21" i="7" s="1"/>
  <c r="Z21" i="7" s="1"/>
  <c r="AA21" i="7" s="1"/>
  <c r="N21" i="7"/>
  <c r="Q22" i="7"/>
  <c r="M22" i="7"/>
  <c r="G24" i="7"/>
  <c r="I23" i="7"/>
  <c r="W23" i="7"/>
  <c r="J23" i="7"/>
  <c r="K23" i="7"/>
  <c r="L22" i="7"/>
  <c r="R20" i="5"/>
  <c r="T20" i="5" s="1"/>
  <c r="V20" i="5" s="1"/>
  <c r="Z20" i="5" s="1"/>
  <c r="AA20" i="5" s="1"/>
  <c r="N20" i="5"/>
  <c r="Q21" i="5"/>
  <c r="M21" i="5"/>
  <c r="J22" i="5"/>
  <c r="G23" i="5"/>
  <c r="W22" i="5"/>
  <c r="I22" i="5"/>
  <c r="K22" i="5"/>
  <c r="L21" i="5"/>
  <c r="L23" i="7" l="1"/>
  <c r="J24" i="7"/>
  <c r="I24" i="7"/>
  <c r="W24" i="7"/>
  <c r="G25" i="7"/>
  <c r="K24" i="7"/>
  <c r="M23" i="7"/>
  <c r="Q23" i="7"/>
  <c r="N22" i="7"/>
  <c r="R22" i="7"/>
  <c r="T22" i="7" s="1"/>
  <c r="V22" i="7" s="1"/>
  <c r="Z22" i="7" s="1"/>
  <c r="AA22" i="7" s="1"/>
  <c r="G24" i="5"/>
  <c r="J23" i="5"/>
  <c r="I23" i="5"/>
  <c r="W23" i="5"/>
  <c r="K23" i="5"/>
  <c r="L22" i="5"/>
  <c r="M22" i="5" s="1"/>
  <c r="N21" i="5"/>
  <c r="R21" i="5"/>
  <c r="T21" i="5" s="1"/>
  <c r="V21" i="5" s="1"/>
  <c r="Z21" i="5" s="1"/>
  <c r="AA21" i="5" s="1"/>
  <c r="Q22" i="5"/>
  <c r="N23" i="7" l="1"/>
  <c r="R23" i="7"/>
  <c r="T23" i="7" s="1"/>
  <c r="V23" i="7" s="1"/>
  <c r="Z23" i="7" s="1"/>
  <c r="AA23" i="7" s="1"/>
  <c r="Q24" i="7"/>
  <c r="G26" i="7"/>
  <c r="W25" i="7"/>
  <c r="I25" i="7"/>
  <c r="J25" i="7"/>
  <c r="K25" i="7"/>
  <c r="L24" i="7"/>
  <c r="M24" i="7" s="1"/>
  <c r="L23" i="5"/>
  <c r="G25" i="5"/>
  <c r="J24" i="5"/>
  <c r="I24" i="5"/>
  <c r="W24" i="5"/>
  <c r="K24" i="5"/>
  <c r="N22" i="5"/>
  <c r="R22" i="5"/>
  <c r="T22" i="5" s="1"/>
  <c r="V22" i="5" s="1"/>
  <c r="Z22" i="5" s="1"/>
  <c r="AA22" i="5" s="1"/>
  <c r="M23" i="5"/>
  <c r="Q23" i="5"/>
  <c r="L25" i="7" l="1"/>
  <c r="R24" i="7"/>
  <c r="T24" i="7" s="1"/>
  <c r="V24" i="7" s="1"/>
  <c r="Z24" i="7" s="1"/>
  <c r="AA24" i="7" s="1"/>
  <c r="N24" i="7"/>
  <c r="M25" i="7"/>
  <c r="Q25" i="7"/>
  <c r="J26" i="7"/>
  <c r="L26" i="7" s="1"/>
  <c r="G27" i="7"/>
  <c r="W26" i="7"/>
  <c r="I26" i="7"/>
  <c r="K26" i="7"/>
  <c r="Q24" i="5"/>
  <c r="N23" i="5"/>
  <c r="R23" i="5"/>
  <c r="T23" i="5" s="1"/>
  <c r="V23" i="5" s="1"/>
  <c r="Z23" i="5" s="1"/>
  <c r="AA23" i="5" s="1"/>
  <c r="J25" i="5"/>
  <c r="G26" i="5"/>
  <c r="I25" i="5"/>
  <c r="W25" i="5"/>
  <c r="K25" i="5"/>
  <c r="L24" i="5"/>
  <c r="M24" i="5" s="1"/>
  <c r="J27" i="7" l="1"/>
  <c r="I27" i="7"/>
  <c r="G28" i="7"/>
  <c r="W27" i="7"/>
  <c r="K27" i="7"/>
  <c r="Q26" i="7"/>
  <c r="M26" i="7"/>
  <c r="R25" i="7"/>
  <c r="T25" i="7" s="1"/>
  <c r="V25" i="7" s="1"/>
  <c r="Z25" i="7" s="1"/>
  <c r="AA25" i="7" s="1"/>
  <c r="N25" i="7"/>
  <c r="N24" i="5"/>
  <c r="R24" i="5"/>
  <c r="T24" i="5" s="1"/>
  <c r="V24" i="5" s="1"/>
  <c r="Z24" i="5" s="1"/>
  <c r="AA24" i="5" s="1"/>
  <c r="Q25" i="5"/>
  <c r="I26" i="5"/>
  <c r="J26" i="5"/>
  <c r="G27" i="5"/>
  <c r="W26" i="5"/>
  <c r="K26" i="5"/>
  <c r="L25" i="5"/>
  <c r="M25" i="5" s="1"/>
  <c r="G29" i="7" l="1"/>
  <c r="W28" i="7"/>
  <c r="J28" i="7"/>
  <c r="I28" i="7"/>
  <c r="K28" i="7"/>
  <c r="Q27" i="7"/>
  <c r="N26" i="7"/>
  <c r="R26" i="7"/>
  <c r="T26" i="7" s="1"/>
  <c r="V26" i="7" s="1"/>
  <c r="Z26" i="7" s="1"/>
  <c r="AA26" i="7" s="1"/>
  <c r="L27" i="7"/>
  <c r="M27" i="7" s="1"/>
  <c r="L26" i="5"/>
  <c r="N25" i="5"/>
  <c r="R25" i="5"/>
  <c r="T25" i="5" s="1"/>
  <c r="V25" i="5" s="1"/>
  <c r="Z25" i="5" s="1"/>
  <c r="AA25" i="5" s="1"/>
  <c r="I27" i="5"/>
  <c r="W27" i="5"/>
  <c r="J27" i="5"/>
  <c r="G28" i="5"/>
  <c r="K27" i="5"/>
  <c r="M26" i="5"/>
  <c r="Q26" i="5"/>
  <c r="R27" i="7" l="1"/>
  <c r="T27" i="7" s="1"/>
  <c r="V27" i="7" s="1"/>
  <c r="Z27" i="7" s="1"/>
  <c r="AA27" i="7" s="1"/>
  <c r="N27" i="7"/>
  <c r="Q28" i="7"/>
  <c r="L28" i="7"/>
  <c r="M28" i="7" s="1"/>
  <c r="I29" i="7"/>
  <c r="W29" i="7"/>
  <c r="J29" i="7"/>
  <c r="G30" i="7"/>
  <c r="K29" i="7"/>
  <c r="L27" i="5"/>
  <c r="N26" i="5"/>
  <c r="R26" i="5"/>
  <c r="T26" i="5" s="1"/>
  <c r="V26" i="5" s="1"/>
  <c r="Z26" i="5" s="1"/>
  <c r="AA26" i="5" s="1"/>
  <c r="W28" i="5"/>
  <c r="I28" i="5"/>
  <c r="G29" i="5"/>
  <c r="J28" i="5"/>
  <c r="K28" i="5"/>
  <c r="M27" i="5"/>
  <c r="Q27" i="5"/>
  <c r="L29" i="7" l="1"/>
  <c r="N28" i="7"/>
  <c r="R28" i="7"/>
  <c r="T28" i="7" s="1"/>
  <c r="V28" i="7" s="1"/>
  <c r="Z28" i="7" s="1"/>
  <c r="AA28" i="7" s="1"/>
  <c r="Q29" i="7"/>
  <c r="M29" i="7"/>
  <c r="W30" i="7"/>
  <c r="J30" i="7"/>
  <c r="L30" i="7" s="1"/>
  <c r="G31" i="7"/>
  <c r="I30" i="7"/>
  <c r="K30" i="7"/>
  <c r="L28" i="5"/>
  <c r="M28" i="5" s="1"/>
  <c r="W29" i="5"/>
  <c r="J29" i="5"/>
  <c r="G30" i="5"/>
  <c r="I29" i="5"/>
  <c r="K29" i="5"/>
  <c r="Q28" i="5"/>
  <c r="R27" i="5"/>
  <c r="T27" i="5" s="1"/>
  <c r="V27" i="5" s="1"/>
  <c r="Z27" i="5" s="1"/>
  <c r="AA27" i="5" s="1"/>
  <c r="N27" i="5"/>
  <c r="G32" i="7" l="1"/>
  <c r="W31" i="7"/>
  <c r="J31" i="7"/>
  <c r="I31" i="7"/>
  <c r="K31" i="7"/>
  <c r="R29" i="7"/>
  <c r="T29" i="7" s="1"/>
  <c r="V29" i="7" s="1"/>
  <c r="Z29" i="7" s="1"/>
  <c r="AA29" i="7" s="1"/>
  <c r="N29" i="7"/>
  <c r="M30" i="7"/>
  <c r="Q30" i="7"/>
  <c r="R28" i="5"/>
  <c r="T28" i="5" s="1"/>
  <c r="V28" i="5" s="1"/>
  <c r="Z28" i="5" s="1"/>
  <c r="AA28" i="5" s="1"/>
  <c r="N28" i="5"/>
  <c r="Q29" i="5"/>
  <c r="J30" i="5"/>
  <c r="G31" i="5"/>
  <c r="W30" i="5"/>
  <c r="I30" i="5"/>
  <c r="K30" i="5"/>
  <c r="L29" i="5"/>
  <c r="M29" i="5" s="1"/>
  <c r="L31" i="7" l="1"/>
  <c r="M31" i="7" s="1"/>
  <c r="Q31" i="7"/>
  <c r="N30" i="7"/>
  <c r="R30" i="7"/>
  <c r="T30" i="7" s="1"/>
  <c r="V30" i="7" s="1"/>
  <c r="Z30" i="7" s="1"/>
  <c r="AA30" i="7" s="1"/>
  <c r="J32" i="7"/>
  <c r="I32" i="7"/>
  <c r="G33" i="7"/>
  <c r="W32" i="7"/>
  <c r="K32" i="7"/>
  <c r="R29" i="5"/>
  <c r="T29" i="5" s="1"/>
  <c r="V29" i="5" s="1"/>
  <c r="Z29" i="5" s="1"/>
  <c r="AA29" i="5" s="1"/>
  <c r="N29" i="5"/>
  <c r="Q30" i="5"/>
  <c r="G32" i="5"/>
  <c r="J31" i="5"/>
  <c r="W31" i="5"/>
  <c r="I31" i="5"/>
  <c r="K31" i="5"/>
  <c r="L30" i="5"/>
  <c r="M30" i="5" s="1"/>
  <c r="L32" i="7" l="1"/>
  <c r="N31" i="7"/>
  <c r="R31" i="7"/>
  <c r="T31" i="7" s="1"/>
  <c r="V31" i="7" s="1"/>
  <c r="Z31" i="7" s="1"/>
  <c r="AA31" i="7" s="1"/>
  <c r="Q32" i="7"/>
  <c r="M32" i="7"/>
  <c r="G34" i="7"/>
  <c r="W33" i="7"/>
  <c r="J33" i="7"/>
  <c r="I33" i="7"/>
  <c r="K33" i="7"/>
  <c r="L31" i="5"/>
  <c r="R30" i="5"/>
  <c r="T30" i="5" s="1"/>
  <c r="V30" i="5" s="1"/>
  <c r="Z30" i="5" s="1"/>
  <c r="AA30" i="5" s="1"/>
  <c r="N30" i="5"/>
  <c r="M31" i="5"/>
  <c r="Q31" i="5"/>
  <c r="G33" i="5"/>
  <c r="W32" i="5"/>
  <c r="J32" i="5"/>
  <c r="I32" i="5"/>
  <c r="K32" i="5"/>
  <c r="L33" i="7" l="1"/>
  <c r="L32" i="5"/>
  <c r="G35" i="7"/>
  <c r="W34" i="7"/>
  <c r="J34" i="7"/>
  <c r="I34" i="7"/>
  <c r="K34" i="7"/>
  <c r="R32" i="7"/>
  <c r="T32" i="7" s="1"/>
  <c r="V32" i="7" s="1"/>
  <c r="Z32" i="7" s="1"/>
  <c r="AA32" i="7" s="1"/>
  <c r="N32" i="7"/>
  <c r="M33" i="7"/>
  <c r="Q33" i="7"/>
  <c r="Q32" i="5"/>
  <c r="M32" i="5"/>
  <c r="W33" i="5"/>
  <c r="J33" i="5"/>
  <c r="G34" i="5"/>
  <c r="I33" i="5"/>
  <c r="K33" i="5"/>
  <c r="R31" i="5"/>
  <c r="T31" i="5" s="1"/>
  <c r="V31" i="5" s="1"/>
  <c r="Z31" i="5" s="1"/>
  <c r="AA31" i="5" s="1"/>
  <c r="N31" i="5"/>
  <c r="Q34" i="7" l="1"/>
  <c r="L34" i="7"/>
  <c r="M34" i="7" s="1"/>
  <c r="N33" i="7"/>
  <c r="R33" i="7"/>
  <c r="T33" i="7" s="1"/>
  <c r="V33" i="7" s="1"/>
  <c r="Z33" i="7" s="1"/>
  <c r="AA33" i="7" s="1"/>
  <c r="J35" i="7"/>
  <c r="L35" i="7" s="1"/>
  <c r="I35" i="7"/>
  <c r="G36" i="7"/>
  <c r="W35" i="7"/>
  <c r="K35" i="7"/>
  <c r="L33" i="5"/>
  <c r="R32" i="5"/>
  <c r="T32" i="5" s="1"/>
  <c r="V32" i="5" s="1"/>
  <c r="Z32" i="5" s="1"/>
  <c r="AA32" i="5" s="1"/>
  <c r="N32" i="5"/>
  <c r="Q33" i="5"/>
  <c r="M33" i="5"/>
  <c r="I34" i="5"/>
  <c r="W34" i="5"/>
  <c r="J34" i="5"/>
  <c r="G35" i="5"/>
  <c r="K34" i="5"/>
  <c r="L34" i="5" l="1"/>
  <c r="N34" i="7"/>
  <c r="R34" i="7"/>
  <c r="T34" i="7" s="1"/>
  <c r="V34" i="7" s="1"/>
  <c r="Z34" i="7" s="1"/>
  <c r="AA34" i="7" s="1"/>
  <c r="Q35" i="7"/>
  <c r="M35" i="7"/>
  <c r="G37" i="7"/>
  <c r="W36" i="7"/>
  <c r="J36" i="7"/>
  <c r="L36" i="7" s="1"/>
  <c r="I36" i="7"/>
  <c r="K36" i="7"/>
  <c r="Q34" i="5"/>
  <c r="M34" i="5"/>
  <c r="N33" i="5"/>
  <c r="R33" i="5"/>
  <c r="T33" i="5" s="1"/>
  <c r="V33" i="5" s="1"/>
  <c r="Z33" i="5" s="1"/>
  <c r="AA33" i="5" s="1"/>
  <c r="I35" i="5"/>
  <c r="W35" i="5"/>
  <c r="J35" i="5"/>
  <c r="G36" i="5"/>
  <c r="K35" i="5"/>
  <c r="L35" i="5" l="1"/>
  <c r="M36" i="7"/>
  <c r="Q36" i="7"/>
  <c r="R35" i="7"/>
  <c r="T35" i="7" s="1"/>
  <c r="V35" i="7" s="1"/>
  <c r="Z35" i="7" s="1"/>
  <c r="AA35" i="7" s="1"/>
  <c r="Y10" i="7" s="1"/>
  <c r="N35" i="7"/>
  <c r="I37" i="7"/>
  <c r="G38" i="7"/>
  <c r="W37" i="7"/>
  <c r="J37" i="7"/>
  <c r="K37" i="7"/>
  <c r="Q35" i="5"/>
  <c r="M35" i="5"/>
  <c r="N34" i="5"/>
  <c r="R34" i="5"/>
  <c r="T34" i="5" s="1"/>
  <c r="V34" i="5" s="1"/>
  <c r="Z34" i="5" s="1"/>
  <c r="AA34" i="5" s="1"/>
  <c r="W36" i="5"/>
  <c r="I36" i="5"/>
  <c r="J36" i="5"/>
  <c r="G37" i="5"/>
  <c r="K36" i="5"/>
  <c r="L37" i="7" l="1"/>
  <c r="L36" i="5"/>
  <c r="Q37" i="7"/>
  <c r="M37" i="7"/>
  <c r="W38" i="7"/>
  <c r="J38" i="7"/>
  <c r="G39" i="7"/>
  <c r="I38" i="7"/>
  <c r="K38" i="7"/>
  <c r="N36" i="7"/>
  <c r="R36" i="7"/>
  <c r="T36" i="7" s="1"/>
  <c r="V36" i="7" s="1"/>
  <c r="Z36" i="7" s="1"/>
  <c r="AA36" i="7" s="1"/>
  <c r="W37" i="5"/>
  <c r="J37" i="5"/>
  <c r="G38" i="5"/>
  <c r="I37" i="5"/>
  <c r="K37" i="5"/>
  <c r="Q36" i="5"/>
  <c r="M36" i="5"/>
  <c r="R35" i="5"/>
  <c r="T35" i="5" s="1"/>
  <c r="V35" i="5" s="1"/>
  <c r="Z35" i="5" s="1"/>
  <c r="AA35" i="5" s="1"/>
  <c r="N35" i="5"/>
  <c r="Q38" i="7" l="1"/>
  <c r="G40" i="7"/>
  <c r="I39" i="7"/>
  <c r="W39" i="7"/>
  <c r="J39" i="7"/>
  <c r="K39" i="7"/>
  <c r="R37" i="7"/>
  <c r="T37" i="7" s="1"/>
  <c r="V37" i="7" s="1"/>
  <c r="Z37" i="7" s="1"/>
  <c r="AA37" i="7" s="1"/>
  <c r="N37" i="7"/>
  <c r="L38" i="7"/>
  <c r="M38" i="7" s="1"/>
  <c r="L37" i="5"/>
  <c r="M37" i="5" s="1"/>
  <c r="R36" i="5"/>
  <c r="T36" i="5" s="1"/>
  <c r="V36" i="5" s="1"/>
  <c r="Z36" i="5" s="1"/>
  <c r="AA36" i="5" s="1"/>
  <c r="N36" i="5"/>
  <c r="Q37" i="5"/>
  <c r="J38" i="5"/>
  <c r="G39" i="5"/>
  <c r="W38" i="5"/>
  <c r="I38" i="5"/>
  <c r="K38" i="5"/>
  <c r="L39" i="7" l="1"/>
  <c r="M39" i="7" s="1"/>
  <c r="R38" i="7"/>
  <c r="T38" i="7" s="1"/>
  <c r="V38" i="7" s="1"/>
  <c r="Z38" i="7" s="1"/>
  <c r="AA38" i="7" s="1"/>
  <c r="N38" i="7"/>
  <c r="Q39" i="7"/>
  <c r="J40" i="7"/>
  <c r="L40" i="7" s="1"/>
  <c r="I40" i="7"/>
  <c r="W40" i="7"/>
  <c r="G41" i="7"/>
  <c r="K40" i="7"/>
  <c r="L38" i="5"/>
  <c r="M38" i="5" s="1"/>
  <c r="G40" i="5"/>
  <c r="J39" i="5"/>
  <c r="I39" i="5"/>
  <c r="W39" i="5"/>
  <c r="K39" i="5"/>
  <c r="N37" i="5"/>
  <c r="R37" i="5"/>
  <c r="T37" i="5" s="1"/>
  <c r="V37" i="5" s="1"/>
  <c r="Z37" i="5" s="1"/>
  <c r="AA37" i="5" s="1"/>
  <c r="Q38" i="5"/>
  <c r="Q40" i="7" l="1"/>
  <c r="M40" i="7"/>
  <c r="N39" i="7"/>
  <c r="R39" i="7"/>
  <c r="T39" i="7" s="1"/>
  <c r="V39" i="7" s="1"/>
  <c r="Z39" i="7" s="1"/>
  <c r="AA39" i="7" s="1"/>
  <c r="G42" i="7"/>
  <c r="W41" i="7"/>
  <c r="J41" i="7"/>
  <c r="L41" i="7" s="1"/>
  <c r="I41" i="7"/>
  <c r="K41" i="7"/>
  <c r="L39" i="5"/>
  <c r="N38" i="5"/>
  <c r="R38" i="5"/>
  <c r="T38" i="5" s="1"/>
  <c r="V38" i="5" s="1"/>
  <c r="Z38" i="5" s="1"/>
  <c r="AA38" i="5" s="1"/>
  <c r="M39" i="5"/>
  <c r="Q39" i="5"/>
  <c r="G41" i="5"/>
  <c r="J40" i="5"/>
  <c r="I40" i="5"/>
  <c r="W40" i="5"/>
  <c r="K40" i="5"/>
  <c r="G43" i="7" l="1"/>
  <c r="W42" i="7"/>
  <c r="J42" i="7"/>
  <c r="I42" i="7"/>
  <c r="K42" i="7"/>
  <c r="R40" i="7"/>
  <c r="T40" i="7" s="1"/>
  <c r="V40" i="7" s="1"/>
  <c r="Z40" i="7" s="1"/>
  <c r="AA40" i="7" s="1"/>
  <c r="N40" i="7"/>
  <c r="M41" i="7"/>
  <c r="Q41" i="7"/>
  <c r="Q40" i="5"/>
  <c r="L40" i="5"/>
  <c r="M40" i="5" s="1"/>
  <c r="J41" i="5"/>
  <c r="G42" i="5"/>
  <c r="I41" i="5"/>
  <c r="W41" i="5"/>
  <c r="K41" i="5"/>
  <c r="N39" i="5"/>
  <c r="R39" i="5"/>
  <c r="T39" i="5" s="1"/>
  <c r="V39" i="5" s="1"/>
  <c r="Z39" i="5" s="1"/>
  <c r="AA39" i="5" s="1"/>
  <c r="R41" i="7" l="1"/>
  <c r="T41" i="7" s="1"/>
  <c r="V41" i="7" s="1"/>
  <c r="Z41" i="7" s="1"/>
  <c r="AA41" i="7" s="1"/>
  <c r="N41" i="7"/>
  <c r="Q42" i="7"/>
  <c r="L42" i="7"/>
  <c r="M42" i="7" s="1"/>
  <c r="J43" i="7"/>
  <c r="L43" i="7" s="1"/>
  <c r="I43" i="7"/>
  <c r="G44" i="7"/>
  <c r="W43" i="7"/>
  <c r="K43" i="7"/>
  <c r="L41" i="5"/>
  <c r="N40" i="5"/>
  <c r="R40" i="5"/>
  <c r="T40" i="5" s="1"/>
  <c r="V40" i="5" s="1"/>
  <c r="Z40" i="5" s="1"/>
  <c r="AA40" i="5" s="1"/>
  <c r="Q41" i="5"/>
  <c r="M41" i="5"/>
  <c r="I42" i="5"/>
  <c r="J42" i="5"/>
  <c r="G43" i="5"/>
  <c r="W42" i="5"/>
  <c r="K42" i="5"/>
  <c r="L42" i="5" l="1"/>
  <c r="N42" i="7"/>
  <c r="R42" i="7"/>
  <c r="T42" i="7" s="1"/>
  <c r="V42" i="7" s="1"/>
  <c r="Z42" i="7" s="1"/>
  <c r="AA42" i="7" s="1"/>
  <c r="Q43" i="7"/>
  <c r="M43" i="7"/>
  <c r="G45" i="7"/>
  <c r="W44" i="7"/>
  <c r="I44" i="7"/>
  <c r="J44" i="7"/>
  <c r="K44" i="7"/>
  <c r="M42" i="5"/>
  <c r="Q42" i="5"/>
  <c r="I43" i="5"/>
  <c r="W43" i="5"/>
  <c r="J43" i="5"/>
  <c r="G44" i="5"/>
  <c r="K43" i="5"/>
  <c r="N41" i="5"/>
  <c r="R41" i="5"/>
  <c r="T41" i="5" s="1"/>
  <c r="V41" i="5" s="1"/>
  <c r="Z41" i="5" s="1"/>
  <c r="AA41" i="5" s="1"/>
  <c r="Q44" i="7" l="1"/>
  <c r="I45" i="7"/>
  <c r="J45" i="7"/>
  <c r="G46" i="7"/>
  <c r="W45" i="7"/>
  <c r="K45" i="7"/>
  <c r="R43" i="7"/>
  <c r="T43" i="7" s="1"/>
  <c r="V43" i="7" s="1"/>
  <c r="Z43" i="7" s="1"/>
  <c r="AA43" i="7" s="1"/>
  <c r="N43" i="7"/>
  <c r="L44" i="7"/>
  <c r="M44" i="7" s="1"/>
  <c r="W44" i="5"/>
  <c r="I44" i="5"/>
  <c r="G45" i="5"/>
  <c r="J44" i="5"/>
  <c r="K44" i="5"/>
  <c r="L43" i="5"/>
  <c r="M43" i="5" s="1"/>
  <c r="Q43" i="5"/>
  <c r="N42" i="5"/>
  <c r="R42" i="5"/>
  <c r="T42" i="5" s="1"/>
  <c r="V42" i="5" s="1"/>
  <c r="Z42" i="5" s="1"/>
  <c r="AA42" i="5" s="1"/>
  <c r="N44" i="7" l="1"/>
  <c r="R44" i="7"/>
  <c r="T44" i="7" s="1"/>
  <c r="V44" i="7" s="1"/>
  <c r="Z44" i="7" s="1"/>
  <c r="AA44" i="7" s="1"/>
  <c r="W46" i="7"/>
  <c r="J46" i="7"/>
  <c r="G47" i="7"/>
  <c r="I46" i="7"/>
  <c r="K46" i="7"/>
  <c r="L45" i="7"/>
  <c r="M45" i="7" s="1"/>
  <c r="Q45" i="7"/>
  <c r="L44" i="5"/>
  <c r="R43" i="5"/>
  <c r="T43" i="5" s="1"/>
  <c r="V43" i="5" s="1"/>
  <c r="Z43" i="5" s="1"/>
  <c r="AA43" i="5" s="1"/>
  <c r="N43" i="5"/>
  <c r="W45" i="5"/>
  <c r="J45" i="5"/>
  <c r="G46" i="5"/>
  <c r="I45" i="5"/>
  <c r="K45" i="5"/>
  <c r="M44" i="5"/>
  <c r="Q44" i="5"/>
  <c r="Q46" i="7" l="1"/>
  <c r="G48" i="7"/>
  <c r="W47" i="7"/>
  <c r="J47" i="7"/>
  <c r="I47" i="7"/>
  <c r="K47" i="7"/>
  <c r="R45" i="7"/>
  <c r="T45" i="7" s="1"/>
  <c r="V45" i="7" s="1"/>
  <c r="Z45" i="7" s="1"/>
  <c r="AA45" i="7" s="1"/>
  <c r="N45" i="7"/>
  <c r="L46" i="7"/>
  <c r="M46" i="7" s="1"/>
  <c r="J46" i="5"/>
  <c r="G47" i="5"/>
  <c r="W46" i="5"/>
  <c r="I46" i="5"/>
  <c r="K46" i="5"/>
  <c r="L45" i="5"/>
  <c r="M45" i="5" s="1"/>
  <c r="Q45" i="5"/>
  <c r="R44" i="5"/>
  <c r="T44" i="5" s="1"/>
  <c r="V44" i="5" s="1"/>
  <c r="Z44" i="5" s="1"/>
  <c r="AA44" i="5" s="1"/>
  <c r="N44" i="5"/>
  <c r="L47" i="7" l="1"/>
  <c r="M47" i="7" s="1"/>
  <c r="N46" i="7"/>
  <c r="R46" i="7"/>
  <c r="T46" i="7" s="1"/>
  <c r="V46" i="7" s="1"/>
  <c r="Z46" i="7" s="1"/>
  <c r="AA46" i="7" s="1"/>
  <c r="Q47" i="7"/>
  <c r="J48" i="7"/>
  <c r="I48" i="7"/>
  <c r="G49" i="7"/>
  <c r="W48" i="7"/>
  <c r="K48" i="7"/>
  <c r="R45" i="5"/>
  <c r="T45" i="5" s="1"/>
  <c r="V45" i="5" s="1"/>
  <c r="Z45" i="5" s="1"/>
  <c r="AA45" i="5" s="1"/>
  <c r="N45" i="5"/>
  <c r="Q46" i="5"/>
  <c r="G48" i="5"/>
  <c r="J47" i="5"/>
  <c r="W47" i="5"/>
  <c r="I47" i="5"/>
  <c r="K47" i="5"/>
  <c r="L46" i="5"/>
  <c r="M46" i="5" s="1"/>
  <c r="L48" i="7" l="1"/>
  <c r="N47" i="7"/>
  <c r="R47" i="7"/>
  <c r="T47" i="7" s="1"/>
  <c r="V47" i="7" s="1"/>
  <c r="Z47" i="7" s="1"/>
  <c r="AA47" i="7" s="1"/>
  <c r="Q48" i="7"/>
  <c r="M48" i="7"/>
  <c r="G50" i="7"/>
  <c r="W49" i="7"/>
  <c r="J49" i="7"/>
  <c r="I49" i="7"/>
  <c r="K49" i="7"/>
  <c r="L47" i="5"/>
  <c r="M47" i="5" s="1"/>
  <c r="R46" i="5"/>
  <c r="T46" i="5" s="1"/>
  <c r="V46" i="5" s="1"/>
  <c r="Z46" i="5" s="1"/>
  <c r="AA46" i="5" s="1"/>
  <c r="N46" i="5"/>
  <c r="G49" i="5"/>
  <c r="W48" i="5"/>
  <c r="J48" i="5"/>
  <c r="I48" i="5"/>
  <c r="K48" i="5"/>
  <c r="Q47" i="5"/>
  <c r="L49" i="7" l="1"/>
  <c r="G51" i="7"/>
  <c r="W50" i="7"/>
  <c r="J50" i="7"/>
  <c r="I50" i="7"/>
  <c r="K50" i="7"/>
  <c r="R48" i="7"/>
  <c r="T48" i="7" s="1"/>
  <c r="V48" i="7" s="1"/>
  <c r="Z48" i="7" s="1"/>
  <c r="AA48" i="7" s="1"/>
  <c r="N48" i="7"/>
  <c r="M49" i="7"/>
  <c r="Q49" i="7"/>
  <c r="Q48" i="5"/>
  <c r="L48" i="5"/>
  <c r="M48" i="5" s="1"/>
  <c r="W49" i="5"/>
  <c r="J49" i="5"/>
  <c r="G50" i="5"/>
  <c r="I49" i="5"/>
  <c r="K49" i="5"/>
  <c r="R47" i="5"/>
  <c r="T47" i="5" s="1"/>
  <c r="V47" i="5" s="1"/>
  <c r="Z47" i="5" s="1"/>
  <c r="AA47" i="5" s="1"/>
  <c r="N47" i="5"/>
  <c r="Q50" i="7" l="1"/>
  <c r="L50" i="7"/>
  <c r="M50" i="7" s="1"/>
  <c r="N49" i="7"/>
  <c r="R49" i="7"/>
  <c r="T49" i="7" s="1"/>
  <c r="V49" i="7" s="1"/>
  <c r="Z49" i="7" s="1"/>
  <c r="AA49" i="7" s="1"/>
  <c r="J51" i="7"/>
  <c r="I51" i="7"/>
  <c r="G52" i="7"/>
  <c r="W51" i="7"/>
  <c r="K51" i="7"/>
  <c r="R48" i="5"/>
  <c r="T48" i="5" s="1"/>
  <c r="V48" i="5" s="1"/>
  <c r="Z48" i="5" s="1"/>
  <c r="AA48" i="5" s="1"/>
  <c r="N48" i="5"/>
  <c r="Q49" i="5"/>
  <c r="I50" i="5"/>
  <c r="W50" i="5"/>
  <c r="J50" i="5"/>
  <c r="L50" i="5" s="1"/>
  <c r="G51" i="5"/>
  <c r="K50" i="5"/>
  <c r="L49" i="5"/>
  <c r="M49" i="5" s="1"/>
  <c r="L51" i="7" l="1"/>
  <c r="N50" i="7"/>
  <c r="R50" i="7"/>
  <c r="T50" i="7" s="1"/>
  <c r="V50" i="7" s="1"/>
  <c r="Z50" i="7" s="1"/>
  <c r="AA50" i="7" s="1"/>
  <c r="Q51" i="7"/>
  <c r="M51" i="7"/>
  <c r="G53" i="7"/>
  <c r="W52" i="7"/>
  <c r="J52" i="7"/>
  <c r="L52" i="7" s="1"/>
  <c r="I52" i="7"/>
  <c r="K52" i="7"/>
  <c r="N49" i="5"/>
  <c r="R49" i="5"/>
  <c r="T49" i="5" s="1"/>
  <c r="V49" i="5" s="1"/>
  <c r="Z49" i="5" s="1"/>
  <c r="AA49" i="5" s="1"/>
  <c r="Q50" i="5"/>
  <c r="M50" i="5"/>
  <c r="I51" i="5"/>
  <c r="W51" i="5"/>
  <c r="J51" i="5"/>
  <c r="G52" i="5"/>
  <c r="K51" i="5"/>
  <c r="L51" i="5" l="1"/>
  <c r="I53" i="7"/>
  <c r="G54" i="7"/>
  <c r="J53" i="7"/>
  <c r="W53" i="7"/>
  <c r="K53" i="7"/>
  <c r="R51" i="7"/>
  <c r="T51" i="7" s="1"/>
  <c r="V51" i="7" s="1"/>
  <c r="Z51" i="7" s="1"/>
  <c r="AA51" i="7" s="1"/>
  <c r="N51" i="7"/>
  <c r="M52" i="7"/>
  <c r="Q52" i="7"/>
  <c r="Q51" i="5"/>
  <c r="M51" i="5"/>
  <c r="N50" i="5"/>
  <c r="R50" i="5"/>
  <c r="T50" i="5" s="1"/>
  <c r="V50" i="5" s="1"/>
  <c r="Z50" i="5" s="1"/>
  <c r="AA50" i="5" s="1"/>
  <c r="W52" i="5"/>
  <c r="I52" i="5"/>
  <c r="G53" i="5"/>
  <c r="J52" i="5"/>
  <c r="K52" i="5"/>
  <c r="L52" i="5" l="1"/>
  <c r="N52" i="7"/>
  <c r="R52" i="7"/>
  <c r="T52" i="7" s="1"/>
  <c r="V52" i="7" s="1"/>
  <c r="Z52" i="7" s="1"/>
  <c r="AA52" i="7" s="1"/>
  <c r="L53" i="7"/>
  <c r="M53" i="7" s="1"/>
  <c r="W54" i="7"/>
  <c r="J54" i="7"/>
  <c r="I54" i="7"/>
  <c r="G55" i="7"/>
  <c r="K54" i="7"/>
  <c r="Q53" i="7"/>
  <c r="Q52" i="5"/>
  <c r="M52" i="5"/>
  <c r="W53" i="5"/>
  <c r="J53" i="5"/>
  <c r="G54" i="5"/>
  <c r="I53" i="5"/>
  <c r="K53" i="5"/>
  <c r="R51" i="5"/>
  <c r="T51" i="5" s="1"/>
  <c r="V51" i="5" s="1"/>
  <c r="Z51" i="5" s="1"/>
  <c r="AA51" i="5" s="1"/>
  <c r="N51" i="5"/>
  <c r="G56" i="7" l="1"/>
  <c r="W55" i="7"/>
  <c r="J55" i="7"/>
  <c r="I55" i="7"/>
  <c r="K55" i="7"/>
  <c r="Q54" i="7"/>
  <c r="L54" i="7"/>
  <c r="M54" i="7" s="1"/>
  <c r="R53" i="7"/>
  <c r="T53" i="7" s="1"/>
  <c r="V53" i="7" s="1"/>
  <c r="Z53" i="7" s="1"/>
  <c r="AA53" i="7" s="1"/>
  <c r="N53" i="7"/>
  <c r="Q53" i="5"/>
  <c r="J54" i="5"/>
  <c r="G55" i="5"/>
  <c r="W54" i="5"/>
  <c r="I54" i="5"/>
  <c r="K54" i="5"/>
  <c r="L53" i="5"/>
  <c r="M53" i="5" s="1"/>
  <c r="R52" i="5"/>
  <c r="T52" i="5" s="1"/>
  <c r="V52" i="5" s="1"/>
  <c r="Z52" i="5" s="1"/>
  <c r="AA52" i="5" s="1"/>
  <c r="N52" i="5"/>
  <c r="R54" i="7" l="1"/>
  <c r="T54" i="7" s="1"/>
  <c r="V54" i="7" s="1"/>
  <c r="Z54" i="7" s="1"/>
  <c r="AA54" i="7" s="1"/>
  <c r="N54" i="7"/>
  <c r="Q55" i="7"/>
  <c r="L55" i="7"/>
  <c r="M55" i="7" s="1"/>
  <c r="J56" i="7"/>
  <c r="I56" i="7"/>
  <c r="W56" i="7"/>
  <c r="G57" i="7"/>
  <c r="K56" i="7"/>
  <c r="L54" i="5"/>
  <c r="N53" i="5"/>
  <c r="R53" i="5"/>
  <c r="T53" i="5" s="1"/>
  <c r="V53" i="5" s="1"/>
  <c r="Z53" i="5" s="1"/>
  <c r="AA53" i="5" s="1"/>
  <c r="M54" i="5"/>
  <c r="Q54" i="5"/>
  <c r="G56" i="5"/>
  <c r="W55" i="5"/>
  <c r="J55" i="5"/>
  <c r="I55" i="5"/>
  <c r="K55" i="5"/>
  <c r="L56" i="7" l="1"/>
  <c r="N55" i="7"/>
  <c r="R55" i="7"/>
  <c r="T55" i="7" s="1"/>
  <c r="V55" i="7" s="1"/>
  <c r="Z55" i="7" s="1"/>
  <c r="AA55" i="7" s="1"/>
  <c r="Q56" i="7"/>
  <c r="M56" i="7"/>
  <c r="G58" i="7"/>
  <c r="W57" i="7"/>
  <c r="J57" i="7"/>
  <c r="I57" i="7"/>
  <c r="K57" i="7"/>
  <c r="Q55" i="5"/>
  <c r="L55" i="5"/>
  <c r="M55" i="5" s="1"/>
  <c r="G57" i="5"/>
  <c r="W56" i="5"/>
  <c r="J56" i="5"/>
  <c r="I56" i="5"/>
  <c r="K56" i="5"/>
  <c r="N54" i="5"/>
  <c r="R54" i="5"/>
  <c r="T54" i="5" s="1"/>
  <c r="V54" i="5" s="1"/>
  <c r="Z54" i="5" s="1"/>
  <c r="AA54" i="5" s="1"/>
  <c r="L57" i="7" l="1"/>
  <c r="M57" i="7" s="1"/>
  <c r="G59" i="7"/>
  <c r="J58" i="7"/>
  <c r="W58" i="7"/>
  <c r="I58" i="7"/>
  <c r="K58" i="7"/>
  <c r="R56" i="7"/>
  <c r="T56" i="7" s="1"/>
  <c r="V56" i="7" s="1"/>
  <c r="Z56" i="7" s="1"/>
  <c r="AA56" i="7" s="1"/>
  <c r="N56" i="7"/>
  <c r="Q57" i="7"/>
  <c r="N55" i="5"/>
  <c r="R55" i="5"/>
  <c r="T55" i="5" s="1"/>
  <c r="V55" i="5" s="1"/>
  <c r="Z55" i="5" s="1"/>
  <c r="AA55" i="5" s="1"/>
  <c r="Q56" i="5"/>
  <c r="L56" i="5"/>
  <c r="M56" i="5" s="1"/>
  <c r="W57" i="5"/>
  <c r="J57" i="5"/>
  <c r="L57" i="5" s="1"/>
  <c r="G58" i="5"/>
  <c r="I57" i="5"/>
  <c r="K57" i="5"/>
  <c r="L58" i="7" l="1"/>
  <c r="M58" i="7" s="1"/>
  <c r="Q58" i="7"/>
  <c r="N57" i="7"/>
  <c r="R57" i="7"/>
  <c r="T57" i="7" s="1"/>
  <c r="V57" i="7" s="1"/>
  <c r="Z57" i="7" s="1"/>
  <c r="AA57" i="7" s="1"/>
  <c r="J59" i="7"/>
  <c r="I59" i="7"/>
  <c r="G60" i="7"/>
  <c r="W59" i="7"/>
  <c r="K59" i="7"/>
  <c r="R56" i="5"/>
  <c r="T56" i="5" s="1"/>
  <c r="V56" i="5" s="1"/>
  <c r="Z56" i="5" s="1"/>
  <c r="AA56" i="5" s="1"/>
  <c r="N56" i="5"/>
  <c r="G59" i="5"/>
  <c r="W58" i="5"/>
  <c r="J58" i="5"/>
  <c r="I58" i="5"/>
  <c r="K58" i="5"/>
  <c r="Q57" i="5"/>
  <c r="M57" i="5"/>
  <c r="L59" i="7" l="1"/>
  <c r="M59" i="7" s="1"/>
  <c r="Q59" i="7"/>
  <c r="N58" i="7"/>
  <c r="R58" i="7"/>
  <c r="T58" i="7" s="1"/>
  <c r="V58" i="7" s="1"/>
  <c r="Z58" i="7" s="1"/>
  <c r="AA58" i="7" s="1"/>
  <c r="G61" i="7"/>
  <c r="W60" i="7"/>
  <c r="J60" i="7"/>
  <c r="L60" i="7" s="1"/>
  <c r="I60" i="7"/>
  <c r="K60" i="7"/>
  <c r="L58" i="5"/>
  <c r="M58" i="5" s="1"/>
  <c r="J59" i="5"/>
  <c r="I59" i="5"/>
  <c r="G60" i="5"/>
  <c r="W59" i="5"/>
  <c r="K59" i="5"/>
  <c r="Q58" i="5"/>
  <c r="N57" i="5"/>
  <c r="R57" i="5"/>
  <c r="T57" i="5" s="1"/>
  <c r="V57" i="5" s="1"/>
  <c r="Z57" i="5" s="1"/>
  <c r="AA57" i="5" s="1"/>
  <c r="I61" i="7" l="1"/>
  <c r="G62" i="7"/>
  <c r="J61" i="7"/>
  <c r="W61" i="7"/>
  <c r="K61" i="7"/>
  <c r="R59" i="7"/>
  <c r="T59" i="7" s="1"/>
  <c r="V59" i="7" s="1"/>
  <c r="Z59" i="7" s="1"/>
  <c r="AA59" i="7" s="1"/>
  <c r="N59" i="7"/>
  <c r="M60" i="7"/>
  <c r="Q60" i="7"/>
  <c r="N58" i="5"/>
  <c r="R58" i="5"/>
  <c r="T58" i="5" s="1"/>
  <c r="V58" i="5" s="1"/>
  <c r="Z58" i="5" s="1"/>
  <c r="AA58" i="5" s="1"/>
  <c r="G61" i="5"/>
  <c r="W60" i="5"/>
  <c r="J60" i="5"/>
  <c r="I60" i="5"/>
  <c r="K60" i="5"/>
  <c r="Q59" i="5"/>
  <c r="L59" i="5"/>
  <c r="M59" i="5" s="1"/>
  <c r="N60" i="7" l="1"/>
  <c r="R60" i="7"/>
  <c r="T60" i="7" s="1"/>
  <c r="V60" i="7" s="1"/>
  <c r="Z60" i="7" s="1"/>
  <c r="AA60" i="7" s="1"/>
  <c r="L61" i="7"/>
  <c r="M61" i="7" s="1"/>
  <c r="W62" i="7"/>
  <c r="J62" i="7"/>
  <c r="I62" i="7"/>
  <c r="K62" i="7"/>
  <c r="Q61" i="7"/>
  <c r="R59" i="5"/>
  <c r="T59" i="5" s="1"/>
  <c r="V59" i="5" s="1"/>
  <c r="Z59" i="5" s="1"/>
  <c r="AA59" i="5" s="1"/>
  <c r="N59" i="5"/>
  <c r="Q60" i="5"/>
  <c r="L60" i="5"/>
  <c r="M60" i="5" s="1"/>
  <c r="G62" i="5"/>
  <c r="W61" i="5"/>
  <c r="J61" i="5"/>
  <c r="L61" i="5" s="1"/>
  <c r="I61" i="5"/>
  <c r="K61" i="5"/>
  <c r="L62" i="7" l="1"/>
  <c r="M62" i="7" s="1"/>
  <c r="R61" i="7"/>
  <c r="N61" i="7"/>
  <c r="Q62" i="7"/>
  <c r="T61" i="7"/>
  <c r="V61" i="7" s="1"/>
  <c r="Z61" i="7" s="1"/>
  <c r="AA61" i="7" s="1"/>
  <c r="R60" i="5"/>
  <c r="T60" i="5" s="1"/>
  <c r="V60" i="5" s="1"/>
  <c r="Z60" i="5" s="1"/>
  <c r="AA60" i="5" s="1"/>
  <c r="N60" i="5"/>
  <c r="W62" i="5"/>
  <c r="J62" i="5"/>
  <c r="I62" i="5"/>
  <c r="K62" i="5"/>
  <c r="Q61" i="5"/>
  <c r="M61" i="5"/>
  <c r="R62" i="7" l="1"/>
  <c r="T62" i="7" s="1"/>
  <c r="V62" i="7" s="1"/>
  <c r="Z62" i="7" s="1"/>
  <c r="AA62" i="7" s="1"/>
  <c r="N62" i="7"/>
  <c r="Q62" i="5"/>
  <c r="L62" i="5"/>
  <c r="M62" i="5" s="1"/>
  <c r="N61" i="5"/>
  <c r="R61" i="5"/>
  <c r="T61" i="5" s="1"/>
  <c r="V61" i="5" s="1"/>
  <c r="Z61" i="5" s="1"/>
  <c r="AA61" i="5" s="1"/>
  <c r="R62" i="5" l="1"/>
  <c r="T62" i="5" s="1"/>
  <c r="V62" i="5" s="1"/>
  <c r="Z62" i="5" s="1"/>
  <c r="AA62" i="5" s="1"/>
  <c r="N62" i="5"/>
</calcChain>
</file>

<file path=xl/sharedStrings.xml><?xml version="1.0" encoding="utf-8"?>
<sst xmlns="http://schemas.openxmlformats.org/spreadsheetml/2006/main" count="137" uniqueCount="47">
  <si>
    <t>100/T</t>
  </si>
  <si>
    <t>log(S, 1/min)</t>
  </si>
  <si>
    <t>S, 1/s</t>
  </si>
  <si>
    <t>T, K</t>
  </si>
  <si>
    <t>PMMA</t>
  </si>
  <si>
    <t>PS</t>
  </si>
  <si>
    <t>PVC</t>
  </si>
  <si>
    <t>Data digitized from: Figure 5, in: S. Wu, J. Appl. Polym. Sci., 20, 373 (1976)</t>
  </si>
  <si>
    <t>Universal Parameters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</si>
  <si>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1"/>
        <charset val="2"/>
        <scheme val="minor"/>
      </rPr>
      <t>/R</t>
    </r>
  </si>
  <si>
    <t>E1_bar</t>
  </si>
  <si>
    <t>(E2_bar - E1_bar)</t>
  </si>
  <si>
    <t>Polymer Parameters</t>
  </si>
  <si>
    <t>Tg, K</t>
  </si>
  <si>
    <t>p</t>
  </si>
  <si>
    <t>X</t>
  </si>
  <si>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Calibri"/>
        <family val="2"/>
        <scheme val="minor"/>
      </rPr>
      <t>*</t>
    </r>
  </si>
  <si>
    <t>k</t>
  </si>
  <si>
    <t>Constant-Term</t>
  </si>
  <si>
    <t>Tg/T</t>
  </si>
  <si>
    <t>Aging time, s</t>
  </si>
  <si>
    <t>Tx/Tg</t>
  </si>
  <si>
    <t>Polymer Name</t>
  </si>
  <si>
    <t>log(tau_el)</t>
  </si>
  <si>
    <t>Y</t>
  </si>
  <si>
    <t>Z</t>
  </si>
  <si>
    <t>ln(Y)</t>
  </si>
  <si>
    <t>Z_fictive</t>
  </si>
  <si>
    <t>Tg/Tf</t>
  </si>
  <si>
    <t>Psi_f</t>
  </si>
  <si>
    <t>ln(tau-beta)</t>
  </si>
  <si>
    <t>psi_eq</t>
  </si>
  <si>
    <t>psi_aging</t>
  </si>
  <si>
    <t>psi_actual</t>
  </si>
  <si>
    <t>ln(tau-alpha)</t>
  </si>
  <si>
    <t>log(tau_alpha)</t>
  </si>
  <si>
    <t>Term-1</t>
  </si>
  <si>
    <t>Term-2</t>
  </si>
  <si>
    <t>ln(S, 1/s)</t>
  </si>
  <si>
    <t>T_fit, K</t>
  </si>
  <si>
    <t>"y = 4.5508ln(S) + 346.88"</t>
  </si>
  <si>
    <t>a</t>
  </si>
  <si>
    <t>b</t>
  </si>
  <si>
    <t>diff</t>
  </si>
  <si>
    <t>criterion</t>
  </si>
  <si>
    <t>"y = 3.473ln(S) + 384.25"</t>
  </si>
  <si>
    <t>"y = 3.051ln(S) + 302.02"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</si>
</sst>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E+00"/>
  </numFmts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/>
    <xf numFmtId="11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FictiveCalc!$E$2:$E$34</c:f>
              <c:numCache>
                <c:formatCode>General</c:formatCode>
                <c:ptCount val="33"/>
                <c:pt idx="0">
                  <c:v>2.9958677126809379</c:v>
                </c:pt>
                <c:pt idx="1">
                  <c:v>3.0447089451793738</c:v>
                </c:pt>
                <c:pt idx="2">
                  <c:v>3.0912992798903849</c:v>
                </c:pt>
                <c:pt idx="3">
                  <c:v>3.1358478646256773</c:v>
                </c:pt>
                <c:pt idx="4">
                  <c:v>3.1785407848458207</c:v>
                </c:pt>
                <c:pt idx="5">
                  <c:v>3.2195463003102325</c:v>
                </c:pt>
                <c:pt idx="6">
                  <c:v>3.2590196349893978</c:v>
                </c:pt>
                <c:pt idx="7">
                  <c:v>3.297107646157885</c:v>
                </c:pt>
                <c:pt idx="8">
                  <c:v>3.3339536987253933</c:v>
                </c:pt>
                <c:pt idx="9">
                  <c:v>3.3697030986564105</c:v>
                </c:pt>
                <c:pt idx="10">
                  <c:v>3.4045094927219637</c:v>
                </c:pt>
                <c:pt idx="11">
                  <c:v>3.4385427180656629</c:v>
                </c:pt>
                <c:pt idx="12">
                  <c:v>3.4719986771935374</c:v>
                </c:pt>
                <c:pt idx="13">
                  <c:v>3.5051119047458665</c:v>
                </c:pt>
                <c:pt idx="14">
                  <c:v>3.5381715435099048</c:v>
                </c:pt>
                <c:pt idx="15">
                  <c:v>3.5715413814046402</c:v>
                </c:pt>
                <c:pt idx="16">
                  <c:v>3.6056842749472073</c:v>
                </c:pt>
                <c:pt idx="17">
                  <c:v>3.6411904515040643</c:v>
                </c:pt>
                <c:pt idx="18">
                  <c:v>3.6788074607924695</c:v>
                </c:pt>
                <c:pt idx="19">
                  <c:v>3.7194664334805214</c:v>
                </c:pt>
                <c:pt idx="20">
                  <c:v>3.7642943427883759</c:v>
                </c:pt>
                <c:pt idx="21">
                  <c:v>3.8145952351730457</c:v>
                </c:pt>
                <c:pt idx="22">
                  <c:v>3.8717765442183834</c:v>
                </c:pt>
                <c:pt idx="23">
                  <c:v>3.9371942661237398</c:v>
                </c:pt>
                <c:pt idx="24">
                  <c:v>4.0119012418670872</c:v>
                </c:pt>
                <c:pt idx="25">
                  <c:v>4.0963150418504446</c:v>
                </c:pt>
                <c:pt idx="26">
                  <c:v>4.1898762412675028</c:v>
                </c:pt>
                <c:pt idx="27">
                  <c:v>4.2908230780150056</c:v>
                </c:pt>
                <c:pt idx="28">
                  <c:v>4.396221259884519</c:v>
                </c:pt>
                <c:pt idx="29">
                  <c:v>4.5023201086461153</c:v>
                </c:pt>
                <c:pt idx="30">
                  <c:v>4.6051701859880936</c:v>
                </c:pt>
                <c:pt idx="31">
                  <c:v>4.7013079661383266</c:v>
                </c:pt>
                <c:pt idx="32">
                  <c:v>4.7882777663100766</c:v>
                </c:pt>
              </c:numCache>
            </c:numRef>
          </c:xVal>
          <c:yVal>
            <c:numRef>
              <c:f>FictiveCalc!$C$2:$C$34</c:f>
              <c:numCache>
                <c:formatCode>General</c:formatCode>
                <c:ptCount val="33"/>
                <c:pt idx="0">
                  <c:v>0.4</c:v>
                </c:pt>
                <c:pt idx="1">
                  <c:v>0.42000000000000004</c:v>
                </c:pt>
                <c:pt idx="2">
                  <c:v>0.44000000000000006</c:v>
                </c:pt>
                <c:pt idx="3">
                  <c:v>0.46000000000000008</c:v>
                </c:pt>
                <c:pt idx="4">
                  <c:v>0.48000000000000009</c:v>
                </c:pt>
                <c:pt idx="5">
                  <c:v>0.50000000000000011</c:v>
                </c:pt>
                <c:pt idx="6">
                  <c:v>0.52000000000000013</c:v>
                </c:pt>
                <c:pt idx="7">
                  <c:v>0.54000000000000015</c:v>
                </c:pt>
                <c:pt idx="8">
                  <c:v>0.56000000000000016</c:v>
                </c:pt>
                <c:pt idx="9">
                  <c:v>0.58000000000000018</c:v>
                </c:pt>
                <c:pt idx="10">
                  <c:v>0.6000000000000002</c:v>
                </c:pt>
                <c:pt idx="11">
                  <c:v>0.62000000000000022</c:v>
                </c:pt>
                <c:pt idx="12">
                  <c:v>0.64000000000000024</c:v>
                </c:pt>
                <c:pt idx="13">
                  <c:v>0.66000000000000025</c:v>
                </c:pt>
                <c:pt idx="14">
                  <c:v>0.68000000000000027</c:v>
                </c:pt>
                <c:pt idx="15">
                  <c:v>0.70000000000000029</c:v>
                </c:pt>
                <c:pt idx="16">
                  <c:v>0.72000000000000031</c:v>
                </c:pt>
                <c:pt idx="17">
                  <c:v>0.74000000000000032</c:v>
                </c:pt>
                <c:pt idx="18">
                  <c:v>0.76000000000000034</c:v>
                </c:pt>
                <c:pt idx="19">
                  <c:v>0.78000000000000036</c:v>
                </c:pt>
                <c:pt idx="20">
                  <c:v>0.80000000000000038</c:v>
                </c:pt>
                <c:pt idx="21">
                  <c:v>0.8200000000000004</c:v>
                </c:pt>
                <c:pt idx="22">
                  <c:v>0.84000000000000041</c:v>
                </c:pt>
                <c:pt idx="23">
                  <c:v>0.86000000000000043</c:v>
                </c:pt>
                <c:pt idx="24">
                  <c:v>0.88000000000000045</c:v>
                </c:pt>
                <c:pt idx="25">
                  <c:v>0.90000000000000047</c:v>
                </c:pt>
                <c:pt idx="26">
                  <c:v>0.92000000000000048</c:v>
                </c:pt>
                <c:pt idx="27">
                  <c:v>0.9400000000000005</c:v>
                </c:pt>
                <c:pt idx="28">
                  <c:v>0.96000000000000052</c:v>
                </c:pt>
                <c:pt idx="29">
                  <c:v>0.98000000000000054</c:v>
                </c:pt>
                <c:pt idx="30">
                  <c:v>1.0000000000000004</c:v>
                </c:pt>
                <c:pt idx="31">
                  <c:v>1.0200000000000005</c:v>
                </c:pt>
                <c:pt idx="32">
                  <c:v>1.0400000000000005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23-4B81-8EA4-4E3D5FE1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5456"/>
        <c:axId val="1460745808"/>
      </c:scatterChart>
      <c:valAx>
        <c:axId val="15456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45808"/>
        <c:crosses val="autoZero"/>
        <c:crossBetween val="midCat"/>
      </c:valAx>
      <c:valAx>
        <c:axId val="14607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CalculationsPMMA!$V$13:$V$32</c:f>
              <c:numCache>
                <c:formatCode>0.00E+00</c:formatCode>
                <c:ptCount val="20"/>
                <c:pt idx="0">
                  <c:v>0.14467767838622869</c:v>
                </c:pt>
                <c:pt idx="1">
                  <c:v>8.3482546350073378E-2</c:v>
                </c:pt>
                <c:pt idx="2">
                  <c:v>4.8171463786465737E-2</c:v>
                </c:pt>
                <c:pt idx="3">
                  <c:v>2.7796108585381195E-2</c:v>
                </c:pt>
                <c:pt idx="4">
                  <c:v>1.6039032069176715E-2</c:v>
                </c:pt>
                <c:pt idx="5">
                  <c:v>9.2549123891167585E-3</c:v>
                </c:pt>
                <c:pt idx="6">
                  <c:v>5.3403099988079796E-3</c:v>
                </c:pt>
                <c:pt idx="7">
                  <c:v>3.0814890173250344E-3</c:v>
                </c:pt>
                <c:pt idx="8">
                  <c:v>1.7780942615717701E-3</c:v>
                </c:pt>
                <c:pt idx="9">
                  <c:v>1.0260037226350258E-3</c:v>
                </c:pt>
                <c:pt idx="10">
                  <c:v>5.9202915256607587E-4</c:v>
                </c:pt>
                <c:pt idx="11">
                  <c:v>3.4161524929747977E-4</c:v>
                </c:pt>
                <c:pt idx="12">
                  <c:v>1.9712032430624823E-4</c:v>
                </c:pt>
                <c:pt idx="13">
                  <c:v>1.1374323111894951E-4</c:v>
                </c:pt>
                <c:pt idx="14">
                  <c:v>6.5632616377390342E-5</c:v>
                </c:pt>
                <c:pt idx="15">
                  <c:v>3.7871619173864033E-5</c:v>
                </c:pt>
                <c:pt idx="16">
                  <c:v>2.1852847227712818E-5</c:v>
                </c:pt>
                <c:pt idx="17">
                  <c:v>1.2609625423338728E-5</c:v>
                </c:pt>
                <c:pt idx="18">
                  <c:v>7.276061176836868E-6</c:v>
                </c:pt>
                <c:pt idx="19">
                  <c:v>4.1984646229924045E-6</c:v>
                </c:pt>
              </c:numCache>
            </c:numRef>
          </c:xVal>
          <c:yVal>
            <c:numRef>
              <c:f>CalculationsPMMA!$W$13:$W$32</c:f>
              <c:numCache>
                <c:formatCode>General</c:formatCode>
                <c:ptCount val="20"/>
                <c:pt idx="0">
                  <c:v>340.54054054054052</c:v>
                </c:pt>
                <c:pt idx="1">
                  <c:v>337.49999999999994</c:v>
                </c:pt>
                <c:pt idx="2">
                  <c:v>334.51327433628313</c:v>
                </c:pt>
                <c:pt idx="3">
                  <c:v>331.57894736842104</c:v>
                </c:pt>
                <c:pt idx="4">
                  <c:v>328.695652173913</c:v>
                </c:pt>
                <c:pt idx="5">
                  <c:v>325.86206896551721</c:v>
                </c:pt>
                <c:pt idx="6">
                  <c:v>323.07692307692304</c:v>
                </c:pt>
                <c:pt idx="7">
                  <c:v>320.33898305084739</c:v>
                </c:pt>
                <c:pt idx="8">
                  <c:v>317.64705882352939</c:v>
                </c:pt>
                <c:pt idx="9">
                  <c:v>314.99999999999994</c:v>
                </c:pt>
                <c:pt idx="10">
                  <c:v>312.39669421487599</c:v>
                </c:pt>
                <c:pt idx="11">
                  <c:v>309.83606557377044</c:v>
                </c:pt>
                <c:pt idx="12">
                  <c:v>307.31707317073165</c:v>
                </c:pt>
                <c:pt idx="13">
                  <c:v>304.83870967741927</c:v>
                </c:pt>
                <c:pt idx="14">
                  <c:v>302.39999999999992</c:v>
                </c:pt>
                <c:pt idx="15">
                  <c:v>299.99999999999994</c:v>
                </c:pt>
                <c:pt idx="16">
                  <c:v>297.63779527559052</c:v>
                </c:pt>
                <c:pt idx="17">
                  <c:v>295.31249999999994</c:v>
                </c:pt>
                <c:pt idx="18">
                  <c:v>293.02325581395343</c:v>
                </c:pt>
                <c:pt idx="19">
                  <c:v>290.76923076923072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5E-4BA4-BE7D-4974A48D9D7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"/>
            <c:spPr>
              <a:noFill/>
              <a:ln w="127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Data!$C$2:$C$5</c:f>
              <c:numCache>
                <c:formatCode>0.00\ E+00</c:formatCode>
                <c:ptCount val="4"/>
                <c:pt idx="0">
                  <c:v>1.7738952630119622E-2</c:v>
                </c:pt>
                <c:pt idx="1">
                  <c:v>1.6165779967702912E-3</c:v>
                </c:pt>
                <c:pt idx="2">
                  <c:v>1.7179567381591155E-4</c:v>
                </c:pt>
                <c:pt idx="3">
                  <c:v>1.6890659674842495E-5</c:v>
                </c:pt>
              </c:numCache>
            </c:numRef>
          </c:xVal>
          <c:yVal>
            <c:numRef>
              <c:f>Data!$D$2:$D$5</c:f>
              <c:numCache>
                <c:formatCode>0.00\ E+00</c:formatCode>
                <c:ptCount val="4"/>
                <c:pt idx="0">
                  <c:v>329.34549186997583</c:v>
                </c:pt>
                <c:pt idx="1">
                  <c:v>318</c:v>
                </c:pt>
                <c:pt idx="2">
                  <c:v>308.68494218215653</c:v>
                </c:pt>
                <c:pt idx="3">
                  <c:v>296.67770223015754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5E-4BA4-BE7D-4974A48D9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69280"/>
        <c:axId val="1460798128"/>
      </c:scatterChart>
      <c:valAx>
        <c:axId val="1545669280"/>
        <c:scaling>
          <c:logBase val="10"/>
          <c:orientation val="minMax"/>
          <c:max val="1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S, 1/s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8128"/>
        <c:crossesAt val="0"/>
        <c:crossBetween val="midCat"/>
      </c:valAx>
      <c:valAx>
        <c:axId val="1460798128"/>
        <c:scaling>
          <c:orientation val="minMax"/>
          <c:max val="3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69280"/>
        <c:crossesAt val="1.0000000000000004E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CalculationsPS!$V$2:$V$32</c:f>
              <c:numCache>
                <c:formatCode>0.00E+00</c:formatCode>
                <c:ptCount val="31"/>
                <c:pt idx="0">
                  <c:v>0.3080317603530463</c:v>
                </c:pt>
                <c:pt idx="1">
                  <c:v>7.1519748833780858E-2</c:v>
                </c:pt>
                <c:pt idx="2">
                  <c:v>1.4873651718768232E-2</c:v>
                </c:pt>
                <c:pt idx="3">
                  <c:v>2.7584150861537011E-3</c:v>
                </c:pt>
                <c:pt idx="4">
                  <c:v>4.5497920680963126E-4</c:v>
                </c:pt>
                <c:pt idx="5">
                  <c:v>8.8629783528930696E-5</c:v>
                </c:pt>
                <c:pt idx="6">
                  <c:v>3.3521805701667825E-5</c:v>
                </c:pt>
                <c:pt idx="7">
                  <c:v>1.2678711520643298E-5</c:v>
                </c:pt>
                <c:pt idx="8">
                  <c:v>4.7953778878831053E-6</c:v>
                </c:pt>
                <c:pt idx="9">
                  <c:v>1.8137212957450137E-6</c:v>
                </c:pt>
                <c:pt idx="10">
                  <c:v>6.8599076351230822E-7</c:v>
                </c:pt>
                <c:pt idx="11">
                  <c:v>2.5945735363430999E-7</c:v>
                </c:pt>
                <c:pt idx="12">
                  <c:v>9.8132689149119627E-8</c:v>
                </c:pt>
                <c:pt idx="13">
                  <c:v>3.7116021360530141E-8</c:v>
                </c:pt>
                <c:pt idx="14">
                  <c:v>1.4038125863869629E-8</c:v>
                </c:pt>
                <c:pt idx="15">
                  <c:v>5.3095393995922956E-9</c:v>
                </c:pt>
                <c:pt idx="16">
                  <c:v>2.0081889070662718E-9</c:v>
                </c:pt>
                <c:pt idx="17">
                  <c:v>7.5954284975711219E-10</c:v>
                </c:pt>
                <c:pt idx="18">
                  <c:v>2.8727643031349683E-10</c:v>
                </c:pt>
                <c:pt idx="19">
                  <c:v>1.0865449847899388E-10</c:v>
                </c:pt>
                <c:pt idx="20">
                  <c:v>4.1095609642734636E-11</c:v>
                </c:pt>
                <c:pt idx="21">
                  <c:v>1.5543296923270308E-11</c:v>
                </c:pt>
                <c:pt idx="22">
                  <c:v>5.8788294259471117E-12</c:v>
                </c:pt>
                <c:pt idx="23">
                  <c:v>2.2235073800616795E-12</c:v>
                </c:pt>
                <c:pt idx="24">
                  <c:v>8.4098120747774798E-13</c:v>
                </c:pt>
                <c:pt idx="25">
                  <c:v>3.1807827474407783E-13</c:v>
                </c:pt>
                <c:pt idx="26">
                  <c:v>1.2030445860687677E-13</c:v>
                </c:pt>
                <c:pt idx="27">
                  <c:v>4.5501890288919204E-14</c:v>
                </c:pt>
                <c:pt idx="28">
                  <c:v>1.7209852767223197E-14</c:v>
                </c:pt>
                <c:pt idx="29">
                  <c:v>6.5091588588710679E-15</c:v>
                </c:pt>
                <c:pt idx="30">
                  <c:v>2.4619123488792371E-15</c:v>
                </c:pt>
              </c:numCache>
            </c:numRef>
          </c:xVal>
          <c:yVal>
            <c:numRef>
              <c:f>CalculationsPS!$W$2:$W$32</c:f>
              <c:numCache>
                <c:formatCode>General</c:formatCode>
                <c:ptCount val="31"/>
                <c:pt idx="0">
                  <c:v>373</c:v>
                </c:pt>
                <c:pt idx="1">
                  <c:v>369.30693069306932</c:v>
                </c:pt>
                <c:pt idx="2">
                  <c:v>365.68627450980392</c:v>
                </c:pt>
                <c:pt idx="3">
                  <c:v>362.13592233009706</c:v>
                </c:pt>
                <c:pt idx="4">
                  <c:v>358.65384615384613</c:v>
                </c:pt>
                <c:pt idx="5">
                  <c:v>355.23809523809524</c:v>
                </c:pt>
                <c:pt idx="6">
                  <c:v>351.88679245283015</c:v>
                </c:pt>
                <c:pt idx="7">
                  <c:v>348.59813084112147</c:v>
                </c:pt>
                <c:pt idx="8">
                  <c:v>345.37037037037032</c:v>
                </c:pt>
                <c:pt idx="9">
                  <c:v>342.20183486238528</c:v>
                </c:pt>
                <c:pt idx="10">
                  <c:v>339.09090909090907</c:v>
                </c:pt>
                <c:pt idx="11">
                  <c:v>336.03603603603602</c:v>
                </c:pt>
                <c:pt idx="12">
                  <c:v>333.03571428571428</c:v>
                </c:pt>
                <c:pt idx="13">
                  <c:v>330.0884955752212</c:v>
                </c:pt>
                <c:pt idx="14">
                  <c:v>327.19298245614033</c:v>
                </c:pt>
                <c:pt idx="15">
                  <c:v>324.3478260869565</c:v>
                </c:pt>
                <c:pt idx="16">
                  <c:v>321.55172413793099</c:v>
                </c:pt>
                <c:pt idx="17">
                  <c:v>318.80341880341877</c:v>
                </c:pt>
                <c:pt idx="18">
                  <c:v>316.1016949152542</c:v>
                </c:pt>
                <c:pt idx="19">
                  <c:v>313.44537815126046</c:v>
                </c:pt>
                <c:pt idx="20">
                  <c:v>310.83333333333331</c:v>
                </c:pt>
                <c:pt idx="21">
                  <c:v>308.26446280991729</c:v>
                </c:pt>
                <c:pt idx="22">
                  <c:v>305.73770491803276</c:v>
                </c:pt>
                <c:pt idx="23">
                  <c:v>303.25203252032514</c:v>
                </c:pt>
                <c:pt idx="24">
                  <c:v>300.80645161290317</c:v>
                </c:pt>
                <c:pt idx="25">
                  <c:v>298.39999999999992</c:v>
                </c:pt>
                <c:pt idx="26">
                  <c:v>296.03174603174597</c:v>
                </c:pt>
                <c:pt idx="27">
                  <c:v>293.70078740157476</c:v>
                </c:pt>
                <c:pt idx="28">
                  <c:v>291.40624999999994</c:v>
                </c:pt>
                <c:pt idx="29">
                  <c:v>289.14728682170539</c:v>
                </c:pt>
                <c:pt idx="30">
                  <c:v>286.92307692307685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E-4C29-B4E3-7105770FE7F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"/>
            <c:spPr>
              <a:noFill/>
              <a:ln w="127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Data!$C$10:$C$13</c:f>
              <c:numCache>
                <c:formatCode>0.00\ E+00</c:formatCode>
                <c:ptCount val="4"/>
                <c:pt idx="0">
                  <c:v>1.6621545106831767E-2</c:v>
                </c:pt>
                <c:pt idx="1">
                  <c:v>1.6369307277289238E-3</c:v>
                </c:pt>
                <c:pt idx="2">
                  <c:v>1.6134341925763674E-4</c:v>
                </c:pt>
                <c:pt idx="3">
                  <c:v>1.6514470794178885E-5</c:v>
                </c:pt>
              </c:numCache>
            </c:numRef>
          </c:xVal>
          <c:yVal>
            <c:numRef>
              <c:f>Data!$D$10:$D$13</c:f>
              <c:numCache>
                <c:formatCode>0.00\ E+00</c:formatCode>
                <c:ptCount val="4"/>
                <c:pt idx="0">
                  <c:v>371.02744380275402</c:v>
                </c:pt>
                <c:pt idx="1">
                  <c:v>360.50512298038313</c:v>
                </c:pt>
                <c:pt idx="2">
                  <c:v>353.81566940237792</c:v>
                </c:pt>
                <c:pt idx="3">
                  <c:v>346.56781351833683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E-4C29-B4E3-7105770FE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69280"/>
        <c:axId val="1460798128"/>
      </c:scatterChart>
      <c:valAx>
        <c:axId val="1545669280"/>
        <c:scaling>
          <c:logBase val="10"/>
          <c:orientation val="minMax"/>
          <c:max val="1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S, 1/s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8128"/>
        <c:crossesAt val="0"/>
        <c:crossBetween val="midCat"/>
      </c:valAx>
      <c:valAx>
        <c:axId val="1460798128"/>
        <c:scaling>
          <c:orientation val="minMax"/>
          <c:max val="4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69280"/>
        <c:crossesAt val="1.0000000000000004E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CalculationsPVC!$V$2:$V$42</c:f>
              <c:numCache>
                <c:formatCode>0.00E+00</c:formatCode>
                <c:ptCount val="41"/>
                <c:pt idx="0">
                  <c:v>4726.575419991188</c:v>
                </c:pt>
                <c:pt idx="1">
                  <c:v>2248.0446152389682</c:v>
                </c:pt>
                <c:pt idx="2">
                  <c:v>1040.2958310186398</c:v>
                </c:pt>
                <c:pt idx="3">
                  <c:v>468.36011853417642</c:v>
                </c:pt>
                <c:pt idx="4">
                  <c:v>205.26771161294542</c:v>
                </c:pt>
                <c:pt idx="5">
                  <c:v>100.05323007074396</c:v>
                </c:pt>
                <c:pt idx="6">
                  <c:v>55.815162782409722</c:v>
                </c:pt>
                <c:pt idx="7">
                  <c:v>31.136749850296617</c:v>
                </c:pt>
                <c:pt idx="8">
                  <c:v>17.369781667025496</c:v>
                </c:pt>
                <c:pt idx="9">
                  <c:v>9.6898140175429699</c:v>
                </c:pt>
                <c:pt idx="10">
                  <c:v>5.4055081114126393</c:v>
                </c:pt>
                <c:pt idx="11">
                  <c:v>3.0154880052029074</c:v>
                </c:pt>
                <c:pt idx="12">
                  <c:v>1.6822041003553803</c:v>
                </c:pt>
                <c:pt idx="13">
                  <c:v>0.93842543242417109</c:v>
                </c:pt>
                <c:pt idx="14">
                  <c:v>0.52350502060627169</c:v>
                </c:pt>
                <c:pt idx="15">
                  <c:v>0.2920397264724785</c:v>
                </c:pt>
                <c:pt idx="16">
                  <c:v>0.16291572856235176</c:v>
                </c:pt>
                <c:pt idx="17">
                  <c:v>9.0883301849357348E-2</c:v>
                </c:pt>
                <c:pt idx="18">
                  <c:v>5.0699675396167744E-2</c:v>
                </c:pt>
                <c:pt idx="19">
                  <c:v>2.8283051264328105E-2</c:v>
                </c:pt>
                <c:pt idx="20">
                  <c:v>1.5777832551588083E-2</c:v>
                </c:pt>
                <c:pt idx="21">
                  <c:v>8.8017377509734609E-3</c:v>
                </c:pt>
                <c:pt idx="22">
                  <c:v>4.9100906086820958E-3</c:v>
                </c:pt>
                <c:pt idx="23">
                  <c:v>2.7391170320658002E-3</c:v>
                </c:pt>
                <c:pt idx="24">
                  <c:v>1.5280292591925944E-3</c:v>
                </c:pt>
                <c:pt idx="25">
                  <c:v>8.5241827553010434E-4</c:v>
                </c:pt>
                <c:pt idx="26">
                  <c:v>4.7552552550051308E-4</c:v>
                </c:pt>
                <c:pt idx="27">
                  <c:v>2.6527414051735803E-4</c:v>
                </c:pt>
                <c:pt idx="28">
                  <c:v>1.4798442113734194E-4</c:v>
                </c:pt>
                <c:pt idx="29">
                  <c:v>8.2553802103153462E-5</c:v>
                </c:pt>
                <c:pt idx="30">
                  <c:v>4.6053024969172699E-5</c:v>
                </c:pt>
                <c:pt idx="31">
                  <c:v>2.5690895570880695E-5</c:v>
                </c:pt>
                <c:pt idx="32">
                  <c:v>1.4331786363126124E-5</c:v>
                </c:pt>
                <c:pt idx="33">
                  <c:v>7.9950541152445583E-6</c:v>
                </c:pt>
                <c:pt idx="34">
                  <c:v>4.4600783660959929E-6</c:v>
                </c:pt>
                <c:pt idx="35">
                  <c:v>2.4880755958597029E-6</c:v>
                </c:pt>
                <c:pt idx="36">
                  <c:v>1.3879846187840232E-6</c:v>
                </c:pt>
                <c:pt idx="37">
                  <c:v>7.7429371727563904E-7</c:v>
                </c:pt>
                <c:pt idx="38">
                  <c:v>4.3194337494731667E-7</c:v>
                </c:pt>
                <c:pt idx="39">
                  <c:v>2.4096163380654049E-7</c:v>
                </c:pt>
                <c:pt idx="40">
                  <c:v>1.3442157545256711E-7</c:v>
                </c:pt>
              </c:numCache>
            </c:numRef>
          </c:xVal>
          <c:yVal>
            <c:numRef>
              <c:f>CalculationsPVC!$W$2:$W$42</c:f>
              <c:numCache>
                <c:formatCode>General</c:formatCode>
                <c:ptCount val="41"/>
                <c:pt idx="0">
                  <c:v>350</c:v>
                </c:pt>
                <c:pt idx="1">
                  <c:v>346.53465346534654</c:v>
                </c:pt>
                <c:pt idx="2">
                  <c:v>343.13725490196077</c:v>
                </c:pt>
                <c:pt idx="3">
                  <c:v>339.80582524271841</c:v>
                </c:pt>
                <c:pt idx="4">
                  <c:v>336.53846153846155</c:v>
                </c:pt>
                <c:pt idx="5">
                  <c:v>333.33333333333331</c:v>
                </c:pt>
                <c:pt idx="6">
                  <c:v>330.18867924528303</c:v>
                </c:pt>
                <c:pt idx="7">
                  <c:v>327.10280373831773</c:v>
                </c:pt>
                <c:pt idx="8">
                  <c:v>324.07407407407408</c:v>
                </c:pt>
                <c:pt idx="9">
                  <c:v>321.10091743119261</c:v>
                </c:pt>
                <c:pt idx="10">
                  <c:v>318.18181818181813</c:v>
                </c:pt>
                <c:pt idx="11">
                  <c:v>315.31531531531527</c:v>
                </c:pt>
                <c:pt idx="12">
                  <c:v>312.49999999999994</c:v>
                </c:pt>
                <c:pt idx="13">
                  <c:v>309.73451327433628</c:v>
                </c:pt>
                <c:pt idx="14">
                  <c:v>307.01754385964909</c:v>
                </c:pt>
                <c:pt idx="15">
                  <c:v>304.3478260869565</c:v>
                </c:pt>
                <c:pt idx="16">
                  <c:v>301.72413793103442</c:v>
                </c:pt>
                <c:pt idx="17">
                  <c:v>299.14529914529913</c:v>
                </c:pt>
                <c:pt idx="18">
                  <c:v>296.61016949152537</c:v>
                </c:pt>
                <c:pt idx="19">
                  <c:v>294.11764705882348</c:v>
                </c:pt>
                <c:pt idx="20">
                  <c:v>291.66666666666663</c:v>
                </c:pt>
                <c:pt idx="21">
                  <c:v>289.25619834710739</c:v>
                </c:pt>
                <c:pt idx="22">
                  <c:v>286.88524590163928</c:v>
                </c:pt>
                <c:pt idx="23">
                  <c:v>284.55284552845524</c:v>
                </c:pt>
                <c:pt idx="24">
                  <c:v>282.25806451612897</c:v>
                </c:pt>
                <c:pt idx="25">
                  <c:v>279.99999999999994</c:v>
                </c:pt>
                <c:pt idx="26">
                  <c:v>277.77777777777771</c:v>
                </c:pt>
                <c:pt idx="27">
                  <c:v>275.59055118110228</c:v>
                </c:pt>
                <c:pt idx="28">
                  <c:v>273.43749999999994</c:v>
                </c:pt>
                <c:pt idx="29">
                  <c:v>271.31782945736427</c:v>
                </c:pt>
                <c:pt idx="30">
                  <c:v>269.23076923076917</c:v>
                </c:pt>
                <c:pt idx="31">
                  <c:v>267.17557251908391</c:v>
                </c:pt>
                <c:pt idx="32">
                  <c:v>265.15151515151507</c:v>
                </c:pt>
                <c:pt idx="33">
                  <c:v>263.15789473684202</c:v>
                </c:pt>
                <c:pt idx="34">
                  <c:v>261.19402985074623</c:v>
                </c:pt>
                <c:pt idx="35">
                  <c:v>259.25925925925918</c:v>
                </c:pt>
                <c:pt idx="36">
                  <c:v>257.35294117647055</c:v>
                </c:pt>
                <c:pt idx="37">
                  <c:v>255.47445255474446</c:v>
                </c:pt>
                <c:pt idx="38">
                  <c:v>253.62318840579704</c:v>
                </c:pt>
                <c:pt idx="39">
                  <c:v>251.79856115107907</c:v>
                </c:pt>
                <c:pt idx="40">
                  <c:v>249.99999999999994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70-4443-8CDC-289FD3D9FB0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5"/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Data!$C$18:$C$21</c:f>
              <c:numCache>
                <c:formatCode>0.00\ E+00</c:formatCode>
                <c:ptCount val="4"/>
                <c:pt idx="0">
                  <c:v>1.6227675338951263E-2</c:v>
                </c:pt>
                <c:pt idx="1">
                  <c:v>1.6589256109319815E-3</c:v>
                </c:pt>
                <c:pt idx="2">
                  <c:v>1.6965961969073783E-4</c:v>
                </c:pt>
                <c:pt idx="3">
                  <c:v>1.735121673000853E-5</c:v>
                </c:pt>
              </c:numCache>
            </c:numRef>
          </c:xVal>
          <c:yVal>
            <c:numRef>
              <c:f>Data!$D$18:$D$21</c:f>
              <c:numCache>
                <c:formatCode>0.00\ E+00</c:formatCode>
                <c:ptCount val="4"/>
                <c:pt idx="0">
                  <c:v>289.9295572678401</c:v>
                </c:pt>
                <c:pt idx="1">
                  <c:v>281.8842607744827</c:v>
                </c:pt>
                <c:pt idx="2">
                  <c:v>275.26327194750877</c:v>
                </c:pt>
                <c:pt idx="3">
                  <c:v>268.94617707204441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70-4443-8CDC-289FD3D9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69280"/>
        <c:axId val="1460798128"/>
      </c:scatterChart>
      <c:valAx>
        <c:axId val="1545669280"/>
        <c:scaling>
          <c:logBase val="10"/>
          <c:orientation val="minMax"/>
          <c:max val="1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S, 1/s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8128"/>
        <c:crossesAt val="0"/>
        <c:crossBetween val="midCat"/>
      </c:valAx>
      <c:valAx>
        <c:axId val="1460798128"/>
        <c:scaling>
          <c:orientation val="minMax"/>
          <c:max val="3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69280"/>
        <c:crossesAt val="1.0000000000000004E-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218AD3-DD3A-421F-AB4F-37A192F9B342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F1F0EE-D96C-4935-932D-1CDD8A81AD9F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FA8A5E-71D6-4C8F-AB02-FEA7B157F6D5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6</xdr:row>
      <xdr:rowOff>180975</xdr:rowOff>
    </xdr:from>
    <xdr:to>
      <xdr:col>20</xdr:col>
      <xdr:colOff>0</xdr:colOff>
      <xdr:row>31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A7B4A-8B63-5D50-1B99-C775C9ECD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C8C37-FF7F-C2D5-8863-A07357E934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F89FD-4F5F-DC97-481C-54AD06D371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96AB9-D676-6171-006F-E9B23CA317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44D1-45F5-4A65-B2C4-754BDF0F517E}">
  <dimension ref="A1:E72"/>
  <sheetViews>
    <sheetView workbookViewId="0">
      <selection activeCell="V28" sqref="V28"/>
    </sheetView>
  </sheetViews>
  <sheetFormatPr defaultRowHeight="15"/>
  <cols>
    <col min="1" max="1" width="16.85546875" customWidth="1"/>
  </cols>
  <sheetData>
    <row r="1" spans="1:5" ht="30">
      <c r="A1" s="4" t="s">
        <v>8</v>
      </c>
      <c r="B1" s="2"/>
      <c r="C1" t="s">
        <v>25</v>
      </c>
      <c r="D1" t="s">
        <v>24</v>
      </c>
      <c r="E1" t="s">
        <v>26</v>
      </c>
    </row>
    <row r="2" spans="1:5">
      <c r="A2" s="5"/>
      <c r="C2">
        <v>0.4</v>
      </c>
      <c r="D2">
        <f>$A$7*C2 + $A$10*C2/(1 + EXP($A$4*(1-C2)))</f>
        <v>20.002708965984791</v>
      </c>
      <c r="E2">
        <f>LN(D2)</f>
        <v>2.9958677126809379</v>
      </c>
    </row>
    <row r="3" spans="1:5">
      <c r="A3" s="6" t="s">
        <v>9</v>
      </c>
      <c r="B3" s="3"/>
      <c r="C3">
        <f>C2+0.02</f>
        <v>0.42000000000000004</v>
      </c>
      <c r="D3">
        <f t="shared" ref="D3:D66" si="0">$A$7*C3 + $A$10*C3/(1 + EXP($A$4*(1-C3)))</f>
        <v>21.003917021840504</v>
      </c>
      <c r="E3">
        <f t="shared" ref="E3:E66" si="1">LN(D3)</f>
        <v>3.0447089451793738</v>
      </c>
    </row>
    <row r="4" spans="1:5">
      <c r="A4" s="5">
        <v>16</v>
      </c>
      <c r="C4">
        <f t="shared" ref="C4:C67" si="2">C3+0.02</f>
        <v>0.44000000000000006</v>
      </c>
      <c r="D4">
        <f t="shared" si="0"/>
        <v>22.005650909326185</v>
      </c>
      <c r="E4">
        <f t="shared" si="1"/>
        <v>3.0912992798903849</v>
      </c>
    </row>
    <row r="5" spans="1:5">
      <c r="A5" s="5"/>
      <c r="C5">
        <f t="shared" si="2"/>
        <v>0.46000000000000008</v>
      </c>
      <c r="D5">
        <f t="shared" si="0"/>
        <v>23.008135358464806</v>
      </c>
      <c r="E5">
        <f t="shared" si="1"/>
        <v>3.1358478646256773</v>
      </c>
    </row>
    <row r="6" spans="1:5">
      <c r="A6" s="5" t="s">
        <v>10</v>
      </c>
      <c r="C6">
        <f t="shared" si="2"/>
        <v>0.48000000000000009</v>
      </c>
      <c r="D6">
        <f t="shared" si="0"/>
        <v>24.011689753907127</v>
      </c>
      <c r="E6">
        <f t="shared" si="1"/>
        <v>3.1785407848458207</v>
      </c>
    </row>
    <row r="7" spans="1:5">
      <c r="A7" s="5">
        <v>50</v>
      </c>
      <c r="C7">
        <f t="shared" si="2"/>
        <v>0.50000000000000011</v>
      </c>
      <c r="D7">
        <f t="shared" si="0"/>
        <v>25.01676750652333</v>
      </c>
      <c r="E7">
        <f t="shared" si="1"/>
        <v>3.2195463003102325</v>
      </c>
    </row>
    <row r="8" spans="1:5">
      <c r="A8" s="5"/>
      <c r="C8">
        <f t="shared" si="2"/>
        <v>0.52000000000000013</v>
      </c>
      <c r="D8">
        <f t="shared" si="0"/>
        <v>26.024011601979257</v>
      </c>
      <c r="E8">
        <f t="shared" si="1"/>
        <v>3.2590196349893978</v>
      </c>
    </row>
    <row r="9" spans="1:5">
      <c r="A9" s="5" t="s">
        <v>11</v>
      </c>
      <c r="C9">
        <f t="shared" si="2"/>
        <v>0.54000000000000015</v>
      </c>
      <c r="D9">
        <f t="shared" si="0"/>
        <v>27.034332874293348</v>
      </c>
      <c r="E9">
        <f t="shared" si="1"/>
        <v>3.297107646157885</v>
      </c>
    </row>
    <row r="10" spans="1:5">
      <c r="A10" s="5">
        <v>100</v>
      </c>
      <c r="C10">
        <f t="shared" si="2"/>
        <v>0.56000000000000016</v>
      </c>
      <c r="D10">
        <f t="shared" si="0"/>
        <v>28.049020139640046</v>
      </c>
      <c r="E10">
        <f t="shared" si="1"/>
        <v>3.3339536987253933</v>
      </c>
    </row>
    <row r="11" spans="1:5">
      <c r="C11">
        <f t="shared" si="2"/>
        <v>0.58000000000000018</v>
      </c>
      <c r="D11">
        <f t="shared" si="0"/>
        <v>29.06989488555919</v>
      </c>
      <c r="E11">
        <f t="shared" si="1"/>
        <v>3.3697030986564105</v>
      </c>
    </row>
    <row r="12" spans="1:5">
      <c r="C12">
        <f t="shared" si="2"/>
        <v>0.6000000000000002</v>
      </c>
      <c r="D12">
        <f t="shared" si="0"/>
        <v>30.099528064810475</v>
      </c>
      <c r="E12">
        <f t="shared" si="1"/>
        <v>3.4045094927219637</v>
      </c>
    </row>
    <row r="13" spans="1:5">
      <c r="C13">
        <f t="shared" si="2"/>
        <v>0.62000000000000022</v>
      </c>
      <c r="D13">
        <f t="shared" si="0"/>
        <v>31.141543076917202</v>
      </c>
      <c r="E13">
        <f t="shared" si="1"/>
        <v>3.4385427180656629</v>
      </c>
    </row>
    <row r="14" spans="1:5">
      <c r="C14">
        <f t="shared" si="2"/>
        <v>0.64000000000000024</v>
      </c>
      <c r="D14">
        <f t="shared" si="0"/>
        <v>32.201037650229097</v>
      </c>
      <c r="E14">
        <f t="shared" si="1"/>
        <v>3.4719986771935374</v>
      </c>
    </row>
    <row r="15" spans="1:5">
      <c r="C15">
        <f t="shared" si="2"/>
        <v>0.66000000000000025</v>
      </c>
      <c r="D15">
        <f t="shared" si="0"/>
        <v>33.285168412314199</v>
      </c>
      <c r="E15">
        <f t="shared" si="1"/>
        <v>3.5051119047458665</v>
      </c>
    </row>
    <row r="16" spans="1:5">
      <c r="C16">
        <f t="shared" si="2"/>
        <v>0.68000000000000027</v>
      </c>
      <c r="D16">
        <f t="shared" si="0"/>
        <v>34.403955509487162</v>
      </c>
      <c r="E16">
        <f t="shared" si="1"/>
        <v>3.5381715435099048</v>
      </c>
    </row>
    <row r="17" spans="3:5">
      <c r="C17">
        <f t="shared" si="2"/>
        <v>0.70000000000000029</v>
      </c>
      <c r="D17">
        <f t="shared" si="0"/>
        <v>35.571379980721211</v>
      </c>
      <c r="E17">
        <f t="shared" si="1"/>
        <v>3.5715413814046402</v>
      </c>
    </row>
    <row r="18" spans="3:5">
      <c r="C18">
        <f t="shared" si="2"/>
        <v>0.72000000000000031</v>
      </c>
      <c r="D18">
        <f t="shared" si="0"/>
        <v>36.806861255172706</v>
      </c>
      <c r="E18">
        <f t="shared" si="1"/>
        <v>3.6056842749472073</v>
      </c>
    </row>
    <row r="19" spans="3:5">
      <c r="C19">
        <f t="shared" si="2"/>
        <v>0.74000000000000032</v>
      </c>
      <c r="D19">
        <f t="shared" si="0"/>
        <v>38.137210211830414</v>
      </c>
      <c r="E19">
        <f t="shared" si="1"/>
        <v>3.6411904515040643</v>
      </c>
    </row>
    <row r="20" spans="3:5">
      <c r="C20">
        <f t="shared" si="2"/>
        <v>0.76000000000000034</v>
      </c>
      <c r="D20">
        <f t="shared" si="0"/>
        <v>39.599142373555615</v>
      </c>
      <c r="E20">
        <f t="shared" si="1"/>
        <v>3.6788074607924695</v>
      </c>
    </row>
    <row r="21" spans="3:5">
      <c r="C21">
        <f t="shared" si="2"/>
        <v>0.78000000000000036</v>
      </c>
      <c r="D21">
        <f t="shared" si="0"/>
        <v>41.242382682270154</v>
      </c>
      <c r="E21">
        <f t="shared" si="1"/>
        <v>3.7194664334805214</v>
      </c>
    </row>
    <row r="22" spans="3:5">
      <c r="C22">
        <f t="shared" si="2"/>
        <v>0.80000000000000038</v>
      </c>
      <c r="D22">
        <f t="shared" si="0"/>
        <v>43.133257823741189</v>
      </c>
      <c r="E22">
        <f t="shared" si="1"/>
        <v>3.7642943427883759</v>
      </c>
    </row>
    <row r="23" spans="3:5">
      <c r="C23">
        <f t="shared" si="2"/>
        <v>0.8200000000000004</v>
      </c>
      <c r="D23">
        <f t="shared" si="0"/>
        <v>45.358393184641272</v>
      </c>
      <c r="E23">
        <f t="shared" si="1"/>
        <v>3.8145952351730457</v>
      </c>
    </row>
    <row r="24" spans="3:5">
      <c r="C24">
        <f t="shared" si="2"/>
        <v>0.84000000000000041</v>
      </c>
      <c r="D24">
        <f t="shared" si="0"/>
        <v>48.027633550155173</v>
      </c>
      <c r="E24">
        <f t="shared" si="1"/>
        <v>3.8717765442183834</v>
      </c>
    </row>
    <row r="25" spans="3:5">
      <c r="C25">
        <f t="shared" si="2"/>
        <v>0.86000000000000043</v>
      </c>
      <c r="D25">
        <f t="shared" si="0"/>
        <v>51.274536587119663</v>
      </c>
      <c r="E25">
        <f t="shared" si="1"/>
        <v>3.9371942661237398</v>
      </c>
    </row>
    <row r="26" spans="3:5">
      <c r="C26">
        <f t="shared" si="2"/>
        <v>0.88000000000000045</v>
      </c>
      <c r="D26">
        <f t="shared" si="0"/>
        <v>55.251817836079255</v>
      </c>
      <c r="E26">
        <f t="shared" si="1"/>
        <v>4.0119012418670872</v>
      </c>
    </row>
    <row r="27" spans="3:5">
      <c r="C27">
        <f t="shared" si="2"/>
        <v>0.90000000000000047</v>
      </c>
      <c r="D27">
        <f t="shared" si="0"/>
        <v>60.11834533794692</v>
      </c>
      <c r="E27">
        <f t="shared" si="1"/>
        <v>4.0963150418504446</v>
      </c>
    </row>
    <row r="28" spans="3:5">
      <c r="C28">
        <f t="shared" si="2"/>
        <v>0.92000000000000048</v>
      </c>
      <c r="D28">
        <f t="shared" si="0"/>
        <v>66.014620569073799</v>
      </c>
      <c r="E28">
        <f t="shared" si="1"/>
        <v>4.1898762412675028</v>
      </c>
    </row>
    <row r="29" spans="3:5">
      <c r="C29">
        <f t="shared" si="2"/>
        <v>0.9400000000000005</v>
      </c>
      <c r="D29">
        <f t="shared" si="0"/>
        <v>73.026550318307557</v>
      </c>
      <c r="E29">
        <f t="shared" si="1"/>
        <v>4.2908230780150056</v>
      </c>
    </row>
    <row r="30" spans="3:5">
      <c r="C30">
        <f t="shared" si="2"/>
        <v>0.96000000000000052</v>
      </c>
      <c r="D30">
        <f t="shared" si="0"/>
        <v>81.143667781793582</v>
      </c>
      <c r="E30">
        <f t="shared" si="1"/>
        <v>4.396221259884519</v>
      </c>
    </row>
    <row r="31" spans="3:5">
      <c r="C31">
        <f t="shared" si="2"/>
        <v>0.98000000000000054</v>
      </c>
      <c r="D31">
        <f t="shared" si="0"/>
        <v>90.226223289422805</v>
      </c>
      <c r="E31">
        <f t="shared" si="1"/>
        <v>4.5023201086461153</v>
      </c>
    </row>
    <row r="32" spans="3:5">
      <c r="C32">
        <f t="shared" si="2"/>
        <v>1.0000000000000004</v>
      </c>
      <c r="D32">
        <f t="shared" si="0"/>
        <v>100.00000000000023</v>
      </c>
      <c r="E32">
        <f t="shared" si="1"/>
        <v>4.6051701859880936</v>
      </c>
    </row>
    <row r="33" spans="3:5">
      <c r="C33">
        <f t="shared" si="2"/>
        <v>1.0200000000000005</v>
      </c>
      <c r="D33">
        <f t="shared" si="0"/>
        <v>110.09107371917267</v>
      </c>
      <c r="E33">
        <f t="shared" si="1"/>
        <v>4.7013079661383266</v>
      </c>
    </row>
    <row r="34" spans="3:5">
      <c r="C34">
        <f t="shared" si="2"/>
        <v>1.0400000000000005</v>
      </c>
      <c r="D34">
        <f t="shared" si="0"/>
        <v>120.09435990305744</v>
      </c>
      <c r="E34">
        <f t="shared" si="1"/>
        <v>4.7882777663100766</v>
      </c>
    </row>
    <row r="35" spans="3:5">
      <c r="C35">
        <f t="shared" si="2"/>
        <v>1.0600000000000005</v>
      </c>
      <c r="D35">
        <f t="shared" si="0"/>
        <v>129.65091134318556</v>
      </c>
      <c r="E35">
        <f t="shared" si="1"/>
        <v>4.8648455412170879</v>
      </c>
    </row>
    <row r="36" spans="3:5">
      <c r="C36">
        <f t="shared" si="2"/>
        <v>1.0800000000000005</v>
      </c>
      <c r="D36">
        <f t="shared" si="0"/>
        <v>138.50457585369637</v>
      </c>
      <c r="E36">
        <f t="shared" si="1"/>
        <v>4.9309033637364763</v>
      </c>
    </row>
    <row r="37" spans="3:5">
      <c r="C37">
        <f t="shared" si="2"/>
        <v>1.1000000000000005</v>
      </c>
      <c r="D37">
        <f t="shared" si="0"/>
        <v>146.5220223647319</v>
      </c>
      <c r="E37">
        <f t="shared" si="1"/>
        <v>4.987175740468456</v>
      </c>
    </row>
    <row r="38" spans="3:5">
      <c r="C38">
        <f t="shared" si="2"/>
        <v>1.1200000000000006</v>
      </c>
      <c r="D38">
        <f t="shared" si="0"/>
        <v>153.67950457226306</v>
      </c>
      <c r="E38">
        <f t="shared" si="1"/>
        <v>5.0348692946931521</v>
      </c>
    </row>
    <row r="39" spans="3:5">
      <c r="C39">
        <f t="shared" si="2"/>
        <v>1.1400000000000006</v>
      </c>
      <c r="D39">
        <f t="shared" si="0"/>
        <v>160.03142824498119</v>
      </c>
      <c r="E39">
        <f t="shared" si="1"/>
        <v>5.0753702224757937</v>
      </c>
    </row>
    <row r="40" spans="3:5">
      <c r="C40">
        <f t="shared" si="2"/>
        <v>1.1600000000000006</v>
      </c>
      <c r="D40">
        <f t="shared" si="0"/>
        <v>165.67612509740502</v>
      </c>
      <c r="E40">
        <f t="shared" si="1"/>
        <v>5.1100348289420578</v>
      </c>
    </row>
    <row r="41" spans="3:5">
      <c r="C41">
        <f t="shared" si="2"/>
        <v>1.1800000000000006</v>
      </c>
      <c r="D41">
        <f t="shared" si="0"/>
        <v>170.72816590502862</v>
      </c>
      <c r="E41">
        <f t="shared" si="1"/>
        <v>5.140072618561752</v>
      </c>
    </row>
    <row r="42" spans="3:5">
      <c r="C42">
        <f t="shared" si="2"/>
        <v>1.2000000000000006</v>
      </c>
      <c r="D42">
        <f t="shared" si="0"/>
        <v>175.30011326438841</v>
      </c>
      <c r="E42">
        <f t="shared" si="1"/>
        <v>5.1664994380444265</v>
      </c>
    </row>
    <row r="43" spans="3:5">
      <c r="C43">
        <f t="shared" si="2"/>
        <v>1.2200000000000006</v>
      </c>
      <c r="D43">
        <f t="shared" si="0"/>
        <v>179.49268349696223</v>
      </c>
      <c r="E43">
        <f t="shared" si="1"/>
        <v>5.190134446634997</v>
      </c>
    </row>
    <row r="44" spans="3:5">
      <c r="C44">
        <f t="shared" si="2"/>
        <v>1.2400000000000007</v>
      </c>
      <c r="D44">
        <f t="shared" si="0"/>
        <v>183.39087296946207</v>
      </c>
      <c r="E44">
        <f t="shared" si="1"/>
        <v>5.2116197928776966</v>
      </c>
    </row>
    <row r="45" spans="3:5">
      <c r="C45">
        <f t="shared" si="2"/>
        <v>1.2600000000000007</v>
      </c>
      <c r="D45">
        <f t="shared" si="0"/>
        <v>187.06366909877542</v>
      </c>
      <c r="E45">
        <f t="shared" si="1"/>
        <v>5.2314490353696685</v>
      </c>
    </row>
    <row r="46" spans="3:5">
      <c r="C46">
        <f t="shared" si="2"/>
        <v>1.2800000000000007</v>
      </c>
      <c r="D46">
        <f t="shared" si="0"/>
        <v>190.56557999080422</v>
      </c>
      <c r="E46">
        <f t="shared" si="1"/>
        <v>5.2499963872458908</v>
      </c>
    </row>
    <row r="47" spans="3:5">
      <c r="C47">
        <f t="shared" si="2"/>
        <v>1.3000000000000007</v>
      </c>
      <c r="D47">
        <f t="shared" si="0"/>
        <v>193.93886575008929</v>
      </c>
      <c r="E47">
        <f t="shared" si="1"/>
        <v>5.2675429844014721</v>
      </c>
    </row>
    <row r="48" spans="3:5">
      <c r="C48">
        <f t="shared" si="2"/>
        <v>1.3200000000000007</v>
      </c>
      <c r="D48">
        <f t="shared" si="0"/>
        <v>197.21585106981922</v>
      </c>
      <c r="E48">
        <f t="shared" si="1"/>
        <v>5.2842988196167777</v>
      </c>
    </row>
    <row r="49" spans="3:5">
      <c r="C49">
        <f t="shared" si="2"/>
        <v>1.3400000000000007</v>
      </c>
      <c r="D49">
        <f t="shared" si="0"/>
        <v>200.42102170833192</v>
      </c>
      <c r="E49">
        <f t="shared" si="1"/>
        <v>5.3004202624533923</v>
      </c>
    </row>
    <row r="50" spans="3:5">
      <c r="C50">
        <f t="shared" si="2"/>
        <v>1.3600000000000008</v>
      </c>
      <c r="D50">
        <f t="shared" si="0"/>
        <v>203.57279499326336</v>
      </c>
      <c r="E50">
        <f t="shared" si="1"/>
        <v>5.3160236558725202</v>
      </c>
    </row>
    <row r="51" spans="3:5">
      <c r="C51">
        <f t="shared" si="2"/>
        <v>1.3800000000000008</v>
      </c>
      <c r="D51">
        <f t="shared" si="0"/>
        <v>206.68495250621669</v>
      </c>
      <c r="E51">
        <f t="shared" si="1"/>
        <v>5.3311956653257049</v>
      </c>
    </row>
    <row r="52" spans="3:5">
      <c r="C52">
        <f t="shared" si="2"/>
        <v>1.4000000000000008</v>
      </c>
      <c r="D52">
        <f t="shared" si="0"/>
        <v>209.76776784877569</v>
      </c>
      <c r="E52">
        <f t="shared" si="1"/>
        <v>5.3460010514081695</v>
      </c>
    </row>
    <row r="53" spans="3:5">
      <c r="C53">
        <f t="shared" si="2"/>
        <v>1.4200000000000008</v>
      </c>
      <c r="D53">
        <f t="shared" si="0"/>
        <v>212.82887803880351</v>
      </c>
      <c r="E53">
        <f t="shared" si="1"/>
        <v>5.360488453329955</v>
      </c>
    </row>
    <row r="54" spans="3:5">
      <c r="C54">
        <f t="shared" si="2"/>
        <v>1.4400000000000008</v>
      </c>
      <c r="D54">
        <f t="shared" si="0"/>
        <v>215.87394821235432</v>
      </c>
      <c r="E54">
        <f t="shared" si="1"/>
        <v>5.3746946642481612</v>
      </c>
    </row>
    <row r="55" spans="3:5">
      <c r="C55">
        <f t="shared" si="2"/>
        <v>1.4600000000000009</v>
      </c>
      <c r="D55">
        <f t="shared" si="0"/>
        <v>218.90717408061442</v>
      </c>
      <c r="E55">
        <f t="shared" si="1"/>
        <v>5.3886477773157413</v>
      </c>
    </row>
    <row r="56" spans="3:5">
      <c r="C56">
        <f t="shared" si="2"/>
        <v>1.4800000000000009</v>
      </c>
      <c r="D56">
        <f t="shared" si="0"/>
        <v>221.93165928667457</v>
      </c>
      <c r="E56">
        <f t="shared" si="1"/>
        <v>5.4023694934284814</v>
      </c>
    </row>
    <row r="57" spans="3:5">
      <c r="C57">
        <f t="shared" si="2"/>
        <v>1.5000000000000009</v>
      </c>
      <c r="D57">
        <f t="shared" si="0"/>
        <v>224.94969748043019</v>
      </c>
      <c r="E57">
        <f t="shared" si="1"/>
        <v>5.4158768104560044</v>
      </c>
    </row>
    <row r="58" spans="3:5">
      <c r="C58">
        <f t="shared" si="2"/>
        <v>1.5200000000000009</v>
      </c>
      <c r="D58">
        <f t="shared" si="0"/>
        <v>227.9629824459609</v>
      </c>
      <c r="E58">
        <f t="shared" si="1"/>
        <v>5.42918325807985</v>
      </c>
    </row>
    <row r="59" spans="3:5">
      <c r="C59">
        <f t="shared" si="2"/>
        <v>1.5400000000000009</v>
      </c>
      <c r="D59">
        <f t="shared" si="0"/>
        <v>230.97276423470493</v>
      </c>
      <c r="E59">
        <f t="shared" si="1"/>
        <v>5.4422997998247347</v>
      </c>
    </row>
    <row r="60" spans="3:5">
      <c r="C60">
        <f t="shared" si="2"/>
        <v>1.5600000000000009</v>
      </c>
      <c r="D60">
        <f t="shared" si="0"/>
        <v>233.97996495784366</v>
      </c>
      <c r="E60">
        <f t="shared" si="1"/>
        <v>5.4552354918538386</v>
      </c>
    </row>
    <row r="61" spans="3:5">
      <c r="C61">
        <f t="shared" si="2"/>
        <v>1.580000000000001</v>
      </c>
      <c r="D61">
        <f t="shared" si="0"/>
        <v>236.98526453688589</v>
      </c>
      <c r="E61">
        <f t="shared" si="1"/>
        <v>5.4679979642523406</v>
      </c>
    </row>
    <row r="62" spans="3:5">
      <c r="C62">
        <f t="shared" si="2"/>
        <v>1.600000000000001</v>
      </c>
      <c r="D62">
        <f t="shared" si="0"/>
        <v>239.98916413606099</v>
      </c>
      <c r="E62">
        <f t="shared" si="1"/>
        <v>5.4805937728896454</v>
      </c>
    </row>
    <row r="63" spans="3:5">
      <c r="C63">
        <f t="shared" si="2"/>
        <v>1.620000000000001</v>
      </c>
      <c r="D63">
        <f t="shared" si="0"/>
        <v>242.99203304442509</v>
      </c>
      <c r="E63">
        <f t="shared" si="1"/>
        <v>5.4930286569776703</v>
      </c>
    </row>
    <row r="64" spans="3:5">
      <c r="C64">
        <f t="shared" si="2"/>
        <v>1.640000000000001</v>
      </c>
      <c r="D64">
        <f t="shared" si="0"/>
        <v>245.99414330181833</v>
      </c>
      <c r="E64">
        <f t="shared" si="1"/>
        <v>5.5053077279327693</v>
      </c>
    </row>
    <row r="65" spans="3:5">
      <c r="C65">
        <f t="shared" si="2"/>
        <v>1.660000000000001</v>
      </c>
      <c r="D65">
        <f t="shared" si="0"/>
        <v>248.99569525830557</v>
      </c>
      <c r="E65">
        <f t="shared" si="1"/>
        <v>5.5174356081960116</v>
      </c>
    </row>
    <row r="66" spans="3:5">
      <c r="C66">
        <f t="shared" si="2"/>
        <v>1.680000000000001</v>
      </c>
      <c r="D66">
        <f t="shared" si="0"/>
        <v>251.99683643224409</v>
      </c>
      <c r="E66">
        <f t="shared" si="1"/>
        <v>5.5294165335923218</v>
      </c>
    </row>
    <row r="67" spans="3:5">
      <c r="C67">
        <f t="shared" si="2"/>
        <v>1.7000000000000011</v>
      </c>
      <c r="D67">
        <f t="shared" ref="D67:D72" si="3">$A$7*C67 + $A$10*C67/(1 + EXP($A$4*(1-C67)))</f>
        <v>254.9976754184558</v>
      </c>
      <c r="E67">
        <f t="shared" ref="E67:E72" si="4">LN(D67)</f>
        <v>5.5412544291108192</v>
      </c>
    </row>
    <row r="68" spans="3:5">
      <c r="C68">
        <f t="shared" ref="C68:C72" si="5">C67+0.02</f>
        <v>1.7200000000000011</v>
      </c>
      <c r="D68">
        <f t="shared" si="3"/>
        <v>257.99829214221774</v>
      </c>
      <c r="E68">
        <f t="shared" si="4"/>
        <v>5.5529529652959004</v>
      </c>
    </row>
    <row r="69" spans="3:5">
      <c r="C69">
        <f t="shared" si="5"/>
        <v>1.7400000000000011</v>
      </c>
      <c r="D69">
        <f t="shared" si="3"/>
        <v>260.99874541684778</v>
      </c>
      <c r="E69">
        <f t="shared" si="4"/>
        <v>5.5645156004791394</v>
      </c>
    </row>
    <row r="70" spans="3:5">
      <c r="C70">
        <f t="shared" si="5"/>
        <v>1.7600000000000011</v>
      </c>
      <c r="D70">
        <f t="shared" si="3"/>
        <v>263.99907851240334</v>
      </c>
      <c r="E70">
        <f t="shared" si="4"/>
        <v>5.5759456126569038</v>
      </c>
    </row>
    <row r="71" spans="3:5">
      <c r="C71">
        <f t="shared" si="5"/>
        <v>1.7800000000000011</v>
      </c>
      <c r="D71">
        <f t="shared" si="3"/>
        <v>266.9993232578654</v>
      </c>
      <c r="E71">
        <f t="shared" si="4"/>
        <v>5.5872461237823012</v>
      </c>
    </row>
    <row r="72" spans="3:5">
      <c r="C72">
        <f t="shared" si="5"/>
        <v>1.8000000000000012</v>
      </c>
      <c r="D72">
        <f t="shared" si="3"/>
        <v>269.99950306230915</v>
      </c>
      <c r="E72">
        <f t="shared" si="4"/>
        <v>5.5984201184867146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FC79-80F1-4D45-8624-35AA2D43EB00}">
  <dimension ref="A1:D25"/>
  <sheetViews>
    <sheetView workbookViewId="0">
      <selection activeCell="A26" sqref="A26"/>
    </sheetView>
  </sheetViews>
  <sheetFormatPr defaultRowHeight="15"/>
  <cols>
    <col min="2" max="2" width="14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0.30363251499880728</v>
      </c>
      <c r="B2" s="1">
        <v>2.7079224369330746E-2</v>
      </c>
      <c r="C2" s="1">
        <v>1.7738952630119622E-2</v>
      </c>
      <c r="D2" s="1">
        <v>329.34549186997583</v>
      </c>
    </row>
    <row r="3" spans="1:4">
      <c r="A3">
        <v>0.31672224014356309</v>
      </c>
      <c r="B3" s="1">
        <v>-1.0132520862921879</v>
      </c>
      <c r="C3" s="1">
        <v>1.6165779967702912E-3</v>
      </c>
      <c r="D3" s="1">
        <v>318</v>
      </c>
    </row>
    <row r="4" spans="1:4">
      <c r="A4">
        <v>0.32395490137315963</v>
      </c>
      <c r="B4" s="1">
        <v>-1.9868365264513639</v>
      </c>
      <c r="C4" s="1">
        <v>1.7179567381591155E-4</v>
      </c>
      <c r="D4" s="1">
        <v>308.68494218215653</v>
      </c>
    </row>
    <row r="5" spans="1:4">
      <c r="A5">
        <v>0.33706611332192971</v>
      </c>
      <c r="B5" s="1">
        <v>-2.9942021380826893</v>
      </c>
      <c r="C5" s="1">
        <v>1.6890659674842495E-5</v>
      </c>
      <c r="D5" s="1">
        <v>296.67770223015754</v>
      </c>
    </row>
    <row r="7" spans="1:4">
      <c r="A7" t="s">
        <v>4</v>
      </c>
    </row>
    <row r="9" spans="1:4">
      <c r="A9" t="s">
        <v>0</v>
      </c>
      <c r="B9" t="s">
        <v>1</v>
      </c>
      <c r="C9" t="s">
        <v>2</v>
      </c>
      <c r="D9" t="s">
        <v>3</v>
      </c>
    </row>
    <row r="10" spans="1:4">
      <c r="A10">
        <v>0.26952184176748417</v>
      </c>
      <c r="B10" s="1">
        <v>-1.1773571128412819E-3</v>
      </c>
      <c r="C10" s="1">
        <v>1.6621545106831767E-2</v>
      </c>
      <c r="D10" s="1">
        <v>371.02744380275402</v>
      </c>
    </row>
    <row r="11" spans="1:4">
      <c r="A11">
        <v>0.27738856849876581</v>
      </c>
      <c r="B11" s="1">
        <v>-1.0078184484583144</v>
      </c>
      <c r="C11" s="1">
        <v>1.6369307277289238E-3</v>
      </c>
      <c r="D11" s="1">
        <v>360.50512298038313</v>
      </c>
    </row>
    <row r="12" spans="1:4">
      <c r="A12">
        <v>0.28263304496634573</v>
      </c>
      <c r="B12" s="1">
        <v>-2.0140974931604663</v>
      </c>
      <c r="C12" s="1">
        <v>1.6134341925763674E-4</v>
      </c>
      <c r="D12" s="1">
        <v>353.81566940237792</v>
      </c>
    </row>
    <row r="13" spans="1:4">
      <c r="A13">
        <v>0.28854381768695037</v>
      </c>
      <c r="B13" s="1">
        <v>-3.0039840883222158</v>
      </c>
      <c r="C13" s="1">
        <v>1.6514470794178885E-5</v>
      </c>
      <c r="D13" s="1">
        <v>346.56781351833683</v>
      </c>
    </row>
    <row r="15" spans="1:4">
      <c r="A15" t="s">
        <v>5</v>
      </c>
    </row>
    <row r="17" spans="1:4">
      <c r="A17" t="s">
        <v>0</v>
      </c>
      <c r="B17" t="s">
        <v>1</v>
      </c>
      <c r="C17" t="s">
        <v>2</v>
      </c>
      <c r="D17" t="s">
        <v>3</v>
      </c>
    </row>
    <row r="18" spans="1:4">
      <c r="A18">
        <v>0.34491136723814231</v>
      </c>
      <c r="B18" s="1">
        <v>-1.1592439264890952E-2</v>
      </c>
      <c r="C18" s="1">
        <v>1.6227675338951263E-2</v>
      </c>
      <c r="D18" s="1">
        <v>289.9295572678401</v>
      </c>
    </row>
    <row r="19" spans="1:4">
      <c r="A19">
        <v>0.35475552883033618</v>
      </c>
      <c r="B19" s="1">
        <v>-1.0020218376643819</v>
      </c>
      <c r="C19" s="1">
        <v>1.6589256109319815E-3</v>
      </c>
      <c r="D19" s="1">
        <v>281.8842607744827</v>
      </c>
    </row>
    <row r="20" spans="1:4">
      <c r="A20">
        <v>0.36328856840395862</v>
      </c>
      <c r="B20" s="1">
        <v>-1.9922702604647928</v>
      </c>
      <c r="C20" s="1">
        <v>1.6965961969073783E-4</v>
      </c>
      <c r="D20" s="1">
        <v>275.26327194750877</v>
      </c>
    </row>
    <row r="21" spans="1:4">
      <c r="A21">
        <v>0.37182160790934887</v>
      </c>
      <c r="B21" s="1">
        <v>-2.982518815123417</v>
      </c>
      <c r="C21" s="1">
        <v>1.735121673000853E-5</v>
      </c>
      <c r="D21" s="1">
        <v>268.94617707204441</v>
      </c>
    </row>
    <row r="23" spans="1:4">
      <c r="A23" t="s">
        <v>6</v>
      </c>
    </row>
    <row r="25" spans="1:4">
      <c r="A2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6D68-828B-44EE-B386-3CB576489184}">
  <dimension ref="A1:AA62"/>
  <sheetViews>
    <sheetView zoomScale="90" zoomScaleNormal="90" workbookViewId="0">
      <selection activeCell="Y10" sqref="Y10"/>
    </sheetView>
  </sheetViews>
  <sheetFormatPr defaultRowHeight="15"/>
  <cols>
    <col min="1" max="1" width="16.140625" customWidth="1"/>
    <col min="3" max="3" width="14" customWidth="1"/>
    <col min="4" max="4" width="11.140625" customWidth="1"/>
    <col min="5" max="5" width="13.28515625" customWidth="1"/>
    <col min="9" max="9" width="12.7109375" customWidth="1"/>
    <col min="13" max="13" width="13" customWidth="1"/>
    <col min="14" max="14" width="14" customWidth="1"/>
    <col min="16" max="16" width="15.28515625" customWidth="1"/>
    <col min="17" max="17" width="14.28515625" customWidth="1"/>
    <col min="25" max="25" width="18.5703125" customWidth="1"/>
  </cols>
  <sheetData>
    <row r="1" spans="1:27" ht="30">
      <c r="A1" s="4" t="s">
        <v>8</v>
      </c>
      <c r="C1" s="2" t="s">
        <v>12</v>
      </c>
      <c r="D1" s="2"/>
      <c r="E1" s="2" t="s">
        <v>20</v>
      </c>
      <c r="G1" t="s">
        <v>19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P1" t="s">
        <v>18</v>
      </c>
      <c r="Q1" t="s">
        <v>36</v>
      </c>
      <c r="R1" t="s">
        <v>37</v>
      </c>
      <c r="T1" t="s">
        <v>38</v>
      </c>
      <c r="V1" t="s">
        <v>2</v>
      </c>
      <c r="W1" t="s">
        <v>3</v>
      </c>
      <c r="Y1" s="2" t="s">
        <v>40</v>
      </c>
      <c r="Z1" t="s">
        <v>39</v>
      </c>
      <c r="AA1" t="s">
        <v>43</v>
      </c>
    </row>
    <row r="2" spans="1:27">
      <c r="A2" s="5"/>
      <c r="C2" s="2"/>
      <c r="E2" s="7">
        <f>POWER(10,6.42)</f>
        <v>2630267.9918953842</v>
      </c>
      <c r="G2">
        <f>1</f>
        <v>1</v>
      </c>
      <c r="I2">
        <f>LN(10)*$C$19 + $A$7*$C$22*G2</f>
        <v>-9.4528530890798379</v>
      </c>
      <c r="J2">
        <f>1/(1 + EXP($A$4*(1 - $C$22*G2)))</f>
        <v>0.15709546888545275</v>
      </c>
      <c r="K2">
        <f>$E$14 + $C$10*(1/$E$11 - 1/G2)</f>
        <v>0.22846027545705569</v>
      </c>
      <c r="L2">
        <f>MIN(J2,K2)</f>
        <v>0.15709546888545275</v>
      </c>
      <c r="M2">
        <f>I2 + $A$10*$C$22*G2*L2</f>
        <v>4.6071913761681831</v>
      </c>
      <c r="N2">
        <f>M2/LN(10)</f>
        <v>2.0008777917420906</v>
      </c>
      <c r="P2">
        <f>LN(2*$C$16/PI())</f>
        <v>-3.2649934220494914</v>
      </c>
      <c r="Q2">
        <f>-0.5*$A$13*$C$13*I2</f>
        <v>8.4947117160403707</v>
      </c>
      <c r="R2">
        <f>-(1 - 0.5*$A$13*$C$13)*M2</f>
        <v>-0.46698500753353839</v>
      </c>
      <c r="T2">
        <f>P2 + Q2 + R2</f>
        <v>4.7627332864573413</v>
      </c>
      <c r="V2" s="7">
        <f>EXP(T2)</f>
        <v>117.0654624507299</v>
      </c>
      <c r="W2">
        <f>$C$7/G2</f>
        <v>378</v>
      </c>
      <c r="Z2" s="7">
        <f>$Y$4*LN(V2) + $Y$7</f>
        <v>368.55424664001009</v>
      </c>
      <c r="AA2" s="7">
        <f>(Z2 - W2)^2</f>
        <v>89.222256537760629</v>
      </c>
    </row>
    <row r="3" spans="1:27">
      <c r="A3" s="6" t="s">
        <v>9</v>
      </c>
      <c r="C3" t="s">
        <v>22</v>
      </c>
      <c r="G3">
        <f>G2+0.01</f>
        <v>1.01</v>
      </c>
      <c r="I3">
        <f t="shared" ref="I3:I62" si="0">LN(10)*$C$19 + $A$7*$C$22*G3</f>
        <v>-9.0053530890798399</v>
      </c>
      <c r="J3">
        <f t="shared" ref="J3:J62" si="1">1/(1 + EXP($A$4*(1 - $C$22*G3)))</f>
        <v>0.17700094221703574</v>
      </c>
      <c r="K3">
        <f t="shared" ref="K3:K62" si="2">$E$14 + $C$10*(1/$E$11 - 1/G3)</f>
        <v>0.23737116654616461</v>
      </c>
      <c r="L3">
        <f t="shared" ref="L3:L62" si="3">MIN(J3,K3)</f>
        <v>0.17700094221703574</v>
      </c>
      <c r="M3">
        <f t="shared" ref="M3:M62" si="4">I3 + $A$10*$C$22*G3*L3</f>
        <v>6.9946470826291041</v>
      </c>
      <c r="N3">
        <f t="shared" ref="N3:N62" si="5">M3/LN(10)</f>
        <v>3.0377366308464984</v>
      </c>
      <c r="P3">
        <f t="shared" ref="P3:P62" si="6">LN(2*$C$16/PI())</f>
        <v>-3.2649934220494914</v>
      </c>
      <c r="Q3">
        <f t="shared" ref="Q3:Q62" si="7">-0.5*$A$13*$C$13*I3</f>
        <v>8.0925703247476708</v>
      </c>
      <c r="R3">
        <f t="shared" ref="R3:R62" si="8">-(1 - 0.5*$A$13*$C$13)*M3</f>
        <v>-0.70897756439470216</v>
      </c>
      <c r="T3">
        <f t="shared" ref="T3:T62" si="9">P3 + Q3 + R3</f>
        <v>4.1185993383034774</v>
      </c>
      <c r="V3" s="7">
        <f t="shared" ref="V3:V62" si="10">EXP(T3)</f>
        <v>61.473078948636456</v>
      </c>
      <c r="W3">
        <f t="shared" ref="W3:W62" si="11">$C$7/G3</f>
        <v>374.25742574257424</v>
      </c>
      <c r="Y3" t="s">
        <v>41</v>
      </c>
      <c r="Z3" s="7">
        <f t="shared" ref="Z3:Z62" si="12">$Y$4*LN(V3) + $Y$7</f>
        <v>365.62292186875146</v>
      </c>
      <c r="AA3" s="7">
        <f t="shared" ref="AA3:AA62" si="13">(Z3 - W3)^2</f>
        <v>74.554657147060595</v>
      </c>
    </row>
    <row r="4" spans="1:27">
      <c r="A4" s="5">
        <v>16</v>
      </c>
      <c r="C4" s="8" t="s">
        <v>4</v>
      </c>
      <c r="E4" t="s">
        <v>24</v>
      </c>
      <c r="G4">
        <f t="shared" ref="G4:G62" si="14">G3+0.01</f>
        <v>1.02</v>
      </c>
      <c r="I4">
        <f t="shared" si="0"/>
        <v>-8.5578530890798348</v>
      </c>
      <c r="J4">
        <f t="shared" si="1"/>
        <v>0.19883365922605961</v>
      </c>
      <c r="K4">
        <f t="shared" si="2"/>
        <v>0.24610733428058512</v>
      </c>
      <c r="L4">
        <f t="shared" si="3"/>
        <v>0.19883365922605961</v>
      </c>
      <c r="M4">
        <f t="shared" si="4"/>
        <v>9.5936716616671482</v>
      </c>
      <c r="N4">
        <f t="shared" si="5"/>
        <v>4.1664786638536428</v>
      </c>
      <c r="P4">
        <f t="shared" si="6"/>
        <v>-3.2649934220494914</v>
      </c>
      <c r="Q4">
        <f t="shared" si="7"/>
        <v>7.6904289334549665</v>
      </c>
      <c r="R4">
        <f t="shared" si="8"/>
        <v>-0.97241474629691682</v>
      </c>
      <c r="T4">
        <f t="shared" si="9"/>
        <v>3.4530207651085578</v>
      </c>
      <c r="V4" s="7">
        <f t="shared" si="10"/>
        <v>31.595691460449022</v>
      </c>
      <c r="W4">
        <f t="shared" si="11"/>
        <v>370.58823529411762</v>
      </c>
      <c r="Y4">
        <v>4.5507999999999997</v>
      </c>
      <c r="Z4" s="7">
        <f t="shared" si="12"/>
        <v>362.59400689785605</v>
      </c>
      <c r="AA4" s="7">
        <f t="shared" si="13"/>
        <v>63.907687651594934</v>
      </c>
    </row>
    <row r="5" spans="1:27">
      <c r="A5" s="5"/>
      <c r="E5">
        <f>LN(E2/POWER(10,C19))</f>
        <v>68.985449386101607</v>
      </c>
      <c r="G5">
        <f t="shared" si="14"/>
        <v>1.03</v>
      </c>
      <c r="I5">
        <f t="shared" si="0"/>
        <v>-8.1103530890798368</v>
      </c>
      <c r="J5">
        <f t="shared" si="1"/>
        <v>0.22263090459089258</v>
      </c>
      <c r="K5">
        <f t="shared" si="2"/>
        <v>0.25467386769006539</v>
      </c>
      <c r="L5">
        <f t="shared" si="3"/>
        <v>0.22263090459089258</v>
      </c>
      <c r="M5">
        <f t="shared" si="4"/>
        <v>12.412876850631594</v>
      </c>
      <c r="N5">
        <f t="shared" si="5"/>
        <v>5.3908439207739161</v>
      </c>
      <c r="P5">
        <f t="shared" si="6"/>
        <v>-3.2649934220494914</v>
      </c>
      <c r="Q5">
        <f t="shared" si="7"/>
        <v>7.2882875421622684</v>
      </c>
      <c r="R5">
        <f t="shared" si="8"/>
        <v>-1.2581694391054694</v>
      </c>
      <c r="T5">
        <f t="shared" si="9"/>
        <v>2.7651246810073071</v>
      </c>
      <c r="V5" s="7">
        <f t="shared" si="10"/>
        <v>15.881019928742688</v>
      </c>
      <c r="W5">
        <f t="shared" si="11"/>
        <v>366.99029126213594</v>
      </c>
      <c r="Z5" s="7">
        <f t="shared" si="12"/>
        <v>359.46352939832803</v>
      </c>
      <c r="AA5" s="7">
        <f t="shared" si="13"/>
        <v>56.652144154473056</v>
      </c>
    </row>
    <row r="6" spans="1:27">
      <c r="A6" s="5" t="s">
        <v>10</v>
      </c>
      <c r="C6" t="s">
        <v>13</v>
      </c>
      <c r="G6">
        <f t="shared" si="14"/>
        <v>1.04</v>
      </c>
      <c r="I6">
        <f t="shared" si="0"/>
        <v>-7.6628530890798388</v>
      </c>
      <c r="J6">
        <f t="shared" si="1"/>
        <v>0.24839326354704164</v>
      </c>
      <c r="K6">
        <f t="shared" si="2"/>
        <v>0.26307566007244038</v>
      </c>
      <c r="L6">
        <f t="shared" si="3"/>
        <v>0.24839326354704164</v>
      </c>
      <c r="M6">
        <f t="shared" si="4"/>
        <v>15.457591881878795</v>
      </c>
      <c r="N6">
        <f t="shared" si="5"/>
        <v>6.713146857812462</v>
      </c>
      <c r="P6">
        <f t="shared" si="6"/>
        <v>-3.2649934220494914</v>
      </c>
      <c r="Q6">
        <f t="shared" si="7"/>
        <v>6.8861461508695694</v>
      </c>
      <c r="R6">
        <f t="shared" si="8"/>
        <v>-1.5667818139156944</v>
      </c>
      <c r="T6">
        <f t="shared" si="9"/>
        <v>2.0543709149043838</v>
      </c>
      <c r="V6" s="7">
        <f t="shared" si="10"/>
        <v>7.8019282517329138</v>
      </c>
      <c r="W6">
        <f t="shared" si="11"/>
        <v>363.46153846153845</v>
      </c>
      <c r="Y6" t="s">
        <v>42</v>
      </c>
      <c r="Z6" s="7">
        <f t="shared" si="12"/>
        <v>356.22903115954688</v>
      </c>
      <c r="AA6" s="7">
        <f t="shared" si="13"/>
        <v>52.309161873361447</v>
      </c>
    </row>
    <row r="7" spans="1:27">
      <c r="A7" s="5">
        <v>50</v>
      </c>
      <c r="C7">
        <v>378</v>
      </c>
      <c r="E7" t="s">
        <v>27</v>
      </c>
      <c r="G7">
        <f t="shared" si="14"/>
        <v>1.05</v>
      </c>
      <c r="I7">
        <f t="shared" si="0"/>
        <v>-7.2153530890798336</v>
      </c>
      <c r="J7">
        <f t="shared" si="1"/>
        <v>0.27607804342710884</v>
      </c>
      <c r="K7">
        <f t="shared" si="2"/>
        <v>0.27131741831419859</v>
      </c>
      <c r="L7">
        <f t="shared" si="3"/>
        <v>0.27131741831419859</v>
      </c>
      <c r="M7">
        <f t="shared" si="4"/>
        <v>18.281701296996982</v>
      </c>
      <c r="N7">
        <f t="shared" si="5"/>
        <v>7.9396419930893103</v>
      </c>
      <c r="P7">
        <f t="shared" si="6"/>
        <v>-3.2649934220494914</v>
      </c>
      <c r="Q7">
        <f t="shared" si="7"/>
        <v>6.4840047595768651</v>
      </c>
      <c r="R7">
        <f t="shared" si="8"/>
        <v>-1.853033599182615</v>
      </c>
      <c r="T7">
        <f t="shared" si="9"/>
        <v>1.3659777383447587</v>
      </c>
      <c r="V7" s="7">
        <f t="shared" si="10"/>
        <v>3.919553476839587</v>
      </c>
      <c r="W7">
        <f t="shared" si="11"/>
        <v>360</v>
      </c>
      <c r="Y7">
        <v>346.88</v>
      </c>
      <c r="Z7" s="7">
        <f t="shared" si="12"/>
        <v>353.09629149165931</v>
      </c>
      <c r="AA7" s="7">
        <f t="shared" si="13"/>
        <v>47.661191168135566</v>
      </c>
    </row>
    <row r="8" spans="1:27">
      <c r="A8" s="5"/>
      <c r="E8">
        <f>-3.1102 + 1.661*LN(E5) -0.1665*POWER(LN(E5),2)</f>
        <v>0.93764291262063626</v>
      </c>
      <c r="G8">
        <f t="shared" si="14"/>
        <v>1.06</v>
      </c>
      <c r="I8">
        <f t="shared" si="0"/>
        <v>-6.7678530890798356</v>
      </c>
      <c r="J8">
        <f t="shared" si="1"/>
        <v>0.30559386848940873</v>
      </c>
      <c r="K8">
        <f t="shared" si="2"/>
        <v>0.27940367168347086</v>
      </c>
      <c r="L8">
        <f t="shared" si="3"/>
        <v>0.27940367168347086</v>
      </c>
      <c r="M8">
        <f t="shared" si="4"/>
        <v>19.739173243531045</v>
      </c>
      <c r="N8">
        <f t="shared" si="5"/>
        <v>8.5726140169978446</v>
      </c>
      <c r="P8">
        <f t="shared" si="6"/>
        <v>-3.2649934220494914</v>
      </c>
      <c r="Q8">
        <f t="shared" si="7"/>
        <v>6.0818633682841661</v>
      </c>
      <c r="R8">
        <f t="shared" si="8"/>
        <v>-2.0007629840422911</v>
      </c>
      <c r="T8">
        <f t="shared" si="9"/>
        <v>0.81610696219238354</v>
      </c>
      <c r="V8" s="7">
        <f t="shared" si="10"/>
        <v>2.2616778790735559</v>
      </c>
      <c r="W8">
        <f t="shared" si="11"/>
        <v>356.60377358490564</v>
      </c>
      <c r="Z8" s="7">
        <f t="shared" si="12"/>
        <v>350.59393956354512</v>
      </c>
      <c r="AA8" s="7">
        <f t="shared" si="13"/>
        <v>36.11810496430234</v>
      </c>
    </row>
    <row r="9" spans="1:27">
      <c r="A9" s="5" t="s">
        <v>11</v>
      </c>
      <c r="C9" t="s">
        <v>14</v>
      </c>
      <c r="G9">
        <f t="shared" si="14"/>
        <v>1.07</v>
      </c>
      <c r="I9">
        <f t="shared" si="0"/>
        <v>-6.3203530890798376</v>
      </c>
      <c r="J9">
        <f t="shared" si="1"/>
        <v>0.3367971680525545</v>
      </c>
      <c r="K9">
        <f t="shared" si="2"/>
        <v>0.2873387801299529</v>
      </c>
      <c r="L9">
        <f t="shared" si="3"/>
        <v>0.2873387801299529</v>
      </c>
      <c r="M9">
        <f t="shared" si="4"/>
        <v>21.196645190065102</v>
      </c>
      <c r="N9">
        <f t="shared" si="5"/>
        <v>9.2055860409063772</v>
      </c>
      <c r="P9">
        <f t="shared" si="6"/>
        <v>-3.2649934220494914</v>
      </c>
      <c r="Q9">
        <f t="shared" si="7"/>
        <v>5.679721976991468</v>
      </c>
      <c r="R9">
        <f t="shared" si="8"/>
        <v>-2.1484923689019668</v>
      </c>
      <c r="T9">
        <f t="shared" si="9"/>
        <v>0.26623618604000976</v>
      </c>
      <c r="V9" s="7">
        <f t="shared" si="10"/>
        <v>1.3050432552881357</v>
      </c>
      <c r="W9">
        <f t="shared" si="11"/>
        <v>353.27102803738313</v>
      </c>
      <c r="Y9" t="s">
        <v>44</v>
      </c>
      <c r="Z9" s="7">
        <f t="shared" si="12"/>
        <v>348.09158763543087</v>
      </c>
      <c r="AA9" s="7">
        <f t="shared" si="13"/>
        <v>26.826602877375421</v>
      </c>
    </row>
    <row r="10" spans="1:27">
      <c r="A10" s="5">
        <v>100</v>
      </c>
      <c r="C10">
        <v>0.9</v>
      </c>
      <c r="E10" t="s">
        <v>28</v>
      </c>
      <c r="G10">
        <f t="shared" si="14"/>
        <v>1.08</v>
      </c>
      <c r="I10">
        <f t="shared" si="0"/>
        <v>-5.8728530890798325</v>
      </c>
      <c r="J10">
        <f t="shared" si="1"/>
        <v>0.36949124387878984</v>
      </c>
      <c r="K10">
        <f t="shared" si="2"/>
        <v>0.29512694212372242</v>
      </c>
      <c r="L10">
        <f t="shared" si="3"/>
        <v>0.29512694212372242</v>
      </c>
      <c r="M10">
        <f t="shared" si="4"/>
        <v>22.654117136599179</v>
      </c>
      <c r="N10">
        <f t="shared" si="5"/>
        <v>9.8385580648149187</v>
      </c>
      <c r="P10">
        <f t="shared" si="6"/>
        <v>-3.2649934220494914</v>
      </c>
      <c r="Q10">
        <f t="shared" si="7"/>
        <v>5.2775805856987628</v>
      </c>
      <c r="R10">
        <f t="shared" si="8"/>
        <v>-2.2962217537616443</v>
      </c>
      <c r="T10">
        <f t="shared" si="9"/>
        <v>-0.28363459011237291</v>
      </c>
      <c r="V10" s="7">
        <f t="shared" si="10"/>
        <v>0.75304176334372175</v>
      </c>
      <c r="W10">
        <f t="shared" si="11"/>
        <v>350</v>
      </c>
      <c r="Y10" s="7">
        <f>AVERAGE(AA13:AA30)</f>
        <v>0.93107509923768916</v>
      </c>
      <c r="Z10" s="7">
        <f t="shared" si="12"/>
        <v>345.58923570731662</v>
      </c>
      <c r="AA10" s="7">
        <f t="shared" si="13"/>
        <v>19.454841645610735</v>
      </c>
    </row>
    <row r="11" spans="1:27">
      <c r="A11" s="5"/>
      <c r="E11">
        <f>E8/C22</f>
        <v>1.0476457124252918</v>
      </c>
      <c r="G11">
        <f t="shared" si="14"/>
        <v>1.0900000000000001</v>
      </c>
      <c r="I11">
        <f t="shared" si="0"/>
        <v>-5.4253530890798345</v>
      </c>
      <c r="J11">
        <f t="shared" si="1"/>
        <v>0.40342845854029818</v>
      </c>
      <c r="K11">
        <f t="shared" si="2"/>
        <v>0.30277220206256034</v>
      </c>
      <c r="L11">
        <f t="shared" si="3"/>
        <v>0.30277220206256034</v>
      </c>
      <c r="M11">
        <f t="shared" si="4"/>
        <v>24.111589083133243</v>
      </c>
      <c r="N11">
        <f t="shared" si="5"/>
        <v>10.471530088723453</v>
      </c>
      <c r="P11">
        <f t="shared" si="6"/>
        <v>-3.2649934220494914</v>
      </c>
      <c r="Q11">
        <f t="shared" si="7"/>
        <v>4.8754391944060647</v>
      </c>
      <c r="R11">
        <f t="shared" si="8"/>
        <v>-2.4439511386213204</v>
      </c>
      <c r="T11">
        <f t="shared" si="9"/>
        <v>-0.83350536626474714</v>
      </c>
      <c r="V11" s="7">
        <f t="shared" si="10"/>
        <v>0.43452344973395141</v>
      </c>
      <c r="W11">
        <f t="shared" si="11"/>
        <v>346.78899082568807</v>
      </c>
      <c r="Z11" s="7">
        <f t="shared" si="12"/>
        <v>343.08688377920237</v>
      </c>
      <c r="AA11" s="7">
        <f t="shared" si="13"/>
        <v>13.705596583639128</v>
      </c>
    </row>
    <row r="12" spans="1:27">
      <c r="A12" s="5" t="s">
        <v>17</v>
      </c>
      <c r="C12" t="s">
        <v>15</v>
      </c>
      <c r="D12" s="3"/>
      <c r="E12" s="3"/>
      <c r="G12">
        <f t="shared" si="14"/>
        <v>1.1000000000000001</v>
      </c>
      <c r="I12">
        <f t="shared" si="0"/>
        <v>-4.9778530890798365</v>
      </c>
      <c r="J12">
        <f t="shared" si="1"/>
        <v>0.43831582833818483</v>
      </c>
      <c r="K12">
        <f t="shared" si="2"/>
        <v>0.31027845727523751</v>
      </c>
      <c r="L12">
        <f t="shared" si="3"/>
        <v>0.31027845727523751</v>
      </c>
      <c r="M12">
        <f t="shared" si="4"/>
        <v>25.569061029667296</v>
      </c>
      <c r="N12">
        <f t="shared" si="5"/>
        <v>11.104502112631984</v>
      </c>
      <c r="P12">
        <f t="shared" si="6"/>
        <v>-3.2649934220494914</v>
      </c>
      <c r="Q12">
        <f t="shared" si="7"/>
        <v>4.4732978031133657</v>
      </c>
      <c r="R12">
        <f t="shared" si="8"/>
        <v>-2.5916805234809956</v>
      </c>
      <c r="T12">
        <f t="shared" si="9"/>
        <v>-1.3833761424171214</v>
      </c>
      <c r="V12" s="7">
        <f t="shared" si="10"/>
        <v>0.25073062021197917</v>
      </c>
      <c r="W12">
        <f t="shared" si="11"/>
        <v>343.63636363636363</v>
      </c>
      <c r="Z12" s="7">
        <f t="shared" si="12"/>
        <v>340.58453185108817</v>
      </c>
      <c r="AA12" s="7">
        <f t="shared" si="13"/>
        <v>9.3136772456175621</v>
      </c>
    </row>
    <row r="13" spans="1:27">
      <c r="A13" s="5">
        <v>1.96</v>
      </c>
      <c r="C13" s="9">
        <v>0.91697957198198665</v>
      </c>
      <c r="E13" t="s">
        <v>29</v>
      </c>
      <c r="G13">
        <f t="shared" si="14"/>
        <v>1.1100000000000001</v>
      </c>
      <c r="I13">
        <f t="shared" si="0"/>
        <v>-4.5303530890798314</v>
      </c>
      <c r="J13">
        <f t="shared" si="1"/>
        <v>0.47382395332963972</v>
      </c>
      <c r="K13">
        <f t="shared" si="2"/>
        <v>0.31764946464624494</v>
      </c>
      <c r="L13">
        <f t="shared" si="3"/>
        <v>0.31764946464624494</v>
      </c>
      <c r="M13">
        <f t="shared" si="4"/>
        <v>27.026532976201377</v>
      </c>
      <c r="N13">
        <f t="shared" si="5"/>
        <v>11.737474136540527</v>
      </c>
      <c r="P13">
        <f t="shared" si="6"/>
        <v>-3.2649934220494914</v>
      </c>
      <c r="Q13">
        <f t="shared" si="7"/>
        <v>4.0711564118206613</v>
      </c>
      <c r="R13">
        <f t="shared" si="8"/>
        <v>-2.7394099083406735</v>
      </c>
      <c r="T13">
        <f t="shared" si="9"/>
        <v>-1.9332469185695036</v>
      </c>
      <c r="V13" s="7">
        <f t="shared" si="10"/>
        <v>0.14467767838622869</v>
      </c>
      <c r="W13">
        <f t="shared" si="11"/>
        <v>340.54054054054052</v>
      </c>
      <c r="Z13" s="7">
        <f t="shared" si="12"/>
        <v>338.08217992297392</v>
      </c>
      <c r="AA13" s="7">
        <f t="shared" si="13"/>
        <v>6.0435369260024236</v>
      </c>
    </row>
    <row r="14" spans="1:27">
      <c r="E14">
        <f>1/(1 + EXP($A$4*(1-E8)))</f>
        <v>0.26939123205257604</v>
      </c>
      <c r="G14">
        <f t="shared" si="14"/>
        <v>1.1200000000000001</v>
      </c>
      <c r="I14">
        <f t="shared" si="0"/>
        <v>-4.0828530890798334</v>
      </c>
      <c r="J14">
        <f t="shared" si="1"/>
        <v>0.50959882052592098</v>
      </c>
      <c r="K14">
        <f t="shared" si="2"/>
        <v>0.32488884688562719</v>
      </c>
      <c r="L14">
        <f t="shared" si="3"/>
        <v>0.32488884688562719</v>
      </c>
      <c r="M14">
        <f t="shared" si="4"/>
        <v>28.484004922735437</v>
      </c>
      <c r="N14">
        <f t="shared" si="5"/>
        <v>12.37044616044906</v>
      </c>
      <c r="P14">
        <f t="shared" si="6"/>
        <v>-3.2649934220494914</v>
      </c>
      <c r="Q14">
        <f t="shared" si="7"/>
        <v>3.6690150205279628</v>
      </c>
      <c r="R14">
        <f t="shared" si="8"/>
        <v>-2.8871392932003492</v>
      </c>
      <c r="T14">
        <f t="shared" si="9"/>
        <v>-2.4831176947218778</v>
      </c>
      <c r="V14" s="7">
        <f t="shared" si="10"/>
        <v>8.3482546350073378E-2</v>
      </c>
      <c r="W14">
        <f t="shared" si="11"/>
        <v>337.49999999999994</v>
      </c>
      <c r="Z14" s="7">
        <f t="shared" si="12"/>
        <v>335.57982799485967</v>
      </c>
      <c r="AA14" s="7">
        <f t="shared" si="13"/>
        <v>3.687060529324417</v>
      </c>
    </row>
    <row r="15" spans="1:27">
      <c r="C15" s="3" t="s">
        <v>16</v>
      </c>
      <c r="G15">
        <f t="shared" si="14"/>
        <v>1.1300000000000001</v>
      </c>
      <c r="I15">
        <f t="shared" si="0"/>
        <v>-3.6353530890798353</v>
      </c>
      <c r="J15">
        <f t="shared" si="1"/>
        <v>0.5452756412159343</v>
      </c>
      <c r="K15">
        <f t="shared" si="2"/>
        <v>0.33200009846590528</v>
      </c>
      <c r="L15">
        <f t="shared" si="3"/>
        <v>0.33200009846590528</v>
      </c>
      <c r="M15">
        <f t="shared" si="4"/>
        <v>29.941476869269493</v>
      </c>
      <c r="N15">
        <f t="shared" si="5"/>
        <v>13.003418184357592</v>
      </c>
      <c r="P15">
        <f t="shared" si="6"/>
        <v>-3.2649934220494914</v>
      </c>
      <c r="Q15">
        <f t="shared" si="7"/>
        <v>3.2668736292352643</v>
      </c>
      <c r="R15">
        <f t="shared" si="8"/>
        <v>-3.0348686780600245</v>
      </c>
      <c r="T15">
        <f t="shared" si="9"/>
        <v>-3.0329884708742516</v>
      </c>
      <c r="V15" s="7">
        <f t="shared" si="10"/>
        <v>4.8171463786465737E-2</v>
      </c>
      <c r="W15">
        <f t="shared" si="11"/>
        <v>334.51327433628313</v>
      </c>
      <c r="Z15" s="7">
        <f t="shared" si="12"/>
        <v>333.07747606674548</v>
      </c>
      <c r="AA15" s="7">
        <f t="shared" si="13"/>
        <v>2.0615166708073285</v>
      </c>
    </row>
    <row r="16" spans="1:27">
      <c r="C16">
        <v>0.06</v>
      </c>
      <c r="G16">
        <f t="shared" si="14"/>
        <v>1.1400000000000001</v>
      </c>
      <c r="I16">
        <f t="shared" si="0"/>
        <v>-3.1878530890798302</v>
      </c>
      <c r="J16">
        <f t="shared" si="1"/>
        <v>0.58049360144885953</v>
      </c>
      <c r="K16">
        <f t="shared" si="2"/>
        <v>0.33898659124652941</v>
      </c>
      <c r="L16">
        <f t="shared" si="3"/>
        <v>0.33898659124652941</v>
      </c>
      <c r="M16">
        <f t="shared" si="4"/>
        <v>31.398948815803571</v>
      </c>
      <c r="N16">
        <f t="shared" si="5"/>
        <v>13.636390208266134</v>
      </c>
      <c r="P16">
        <f t="shared" si="6"/>
        <v>-3.2649934220494914</v>
      </c>
      <c r="Q16">
        <f t="shared" si="7"/>
        <v>2.864732237942559</v>
      </c>
      <c r="R16">
        <f t="shared" si="8"/>
        <v>-3.1825980629197024</v>
      </c>
      <c r="T16">
        <f t="shared" si="9"/>
        <v>-3.5828592470266347</v>
      </c>
      <c r="V16" s="7">
        <f t="shared" si="10"/>
        <v>2.7796108585381195E-2</v>
      </c>
      <c r="W16">
        <f t="shared" si="11"/>
        <v>331.57894736842104</v>
      </c>
      <c r="Z16" s="7">
        <f t="shared" si="12"/>
        <v>330.57512413863117</v>
      </c>
      <c r="AA16" s="7">
        <f t="shared" si="13"/>
        <v>1.0076610766657723</v>
      </c>
    </row>
    <row r="17" spans="3:27">
      <c r="G17">
        <f t="shared" si="14"/>
        <v>1.1500000000000001</v>
      </c>
      <c r="I17">
        <f t="shared" si="0"/>
        <v>-2.7403530890798322</v>
      </c>
      <c r="J17">
        <f t="shared" si="1"/>
        <v>0.61491027410715926</v>
      </c>
      <c r="K17">
        <f t="shared" si="2"/>
        <v>0.3458515798048819</v>
      </c>
      <c r="L17">
        <f t="shared" si="3"/>
        <v>0.3458515798048819</v>
      </c>
      <c r="M17">
        <f t="shared" si="4"/>
        <v>32.856420762337642</v>
      </c>
      <c r="N17">
        <f t="shared" si="5"/>
        <v>14.269362232174672</v>
      </c>
      <c r="P17">
        <f t="shared" si="6"/>
        <v>-3.2649934220494914</v>
      </c>
      <c r="Q17">
        <f t="shared" si="7"/>
        <v>2.4625908466498609</v>
      </c>
      <c r="R17">
        <f t="shared" si="8"/>
        <v>-3.3303274477793789</v>
      </c>
      <c r="T17">
        <f t="shared" si="9"/>
        <v>-4.1327300231790094</v>
      </c>
      <c r="V17" s="7">
        <f t="shared" si="10"/>
        <v>1.6039032069176715E-2</v>
      </c>
      <c r="W17">
        <f t="shared" si="11"/>
        <v>328.695652173913</v>
      </c>
      <c r="Z17" s="7">
        <f t="shared" si="12"/>
        <v>328.07277221051697</v>
      </c>
      <c r="AA17" s="7">
        <f t="shared" si="13"/>
        <v>0.38797944880024055</v>
      </c>
    </row>
    <row r="18" spans="3:27">
      <c r="C18" t="s">
        <v>23</v>
      </c>
      <c r="G18">
        <f t="shared" si="14"/>
        <v>1.1600000000000001</v>
      </c>
      <c r="I18">
        <f t="shared" si="0"/>
        <v>-2.2928530890798342</v>
      </c>
      <c r="J18">
        <f t="shared" si="1"/>
        <v>0.64821448968322815</v>
      </c>
      <c r="K18">
        <f t="shared" si="2"/>
        <v>0.3525982064915385</v>
      </c>
      <c r="L18">
        <f t="shared" si="3"/>
        <v>0.3525982064915385</v>
      </c>
      <c r="M18">
        <f t="shared" si="4"/>
        <v>34.313892708871698</v>
      </c>
      <c r="N18">
        <f t="shared" si="5"/>
        <v>14.902334256083202</v>
      </c>
      <c r="P18">
        <f t="shared" si="6"/>
        <v>-3.2649934220494914</v>
      </c>
      <c r="Q18">
        <f t="shared" si="7"/>
        <v>2.0604494553571624</v>
      </c>
      <c r="R18">
        <f t="shared" si="8"/>
        <v>-3.4780568326390546</v>
      </c>
      <c r="T18">
        <f t="shared" si="9"/>
        <v>-4.6826007993313841</v>
      </c>
      <c r="V18" s="7">
        <f t="shared" si="10"/>
        <v>9.2549123891167585E-3</v>
      </c>
      <c r="W18">
        <f t="shared" si="11"/>
        <v>325.86206896551721</v>
      </c>
      <c r="Z18" s="7">
        <f t="shared" si="12"/>
        <v>325.57042028240272</v>
      </c>
      <c r="AA18" s="7">
        <f t="shared" si="13"/>
        <v>8.5058954362415035E-2</v>
      </c>
    </row>
    <row r="19" spans="3:27">
      <c r="C19">
        <v>-23.54</v>
      </c>
      <c r="G19">
        <f t="shared" si="14"/>
        <v>1.1700000000000002</v>
      </c>
      <c r="I19">
        <f t="shared" si="0"/>
        <v>-1.8453530890798291</v>
      </c>
      <c r="J19">
        <f t="shared" si="1"/>
        <v>0.68013668034319763</v>
      </c>
      <c r="K19">
        <f t="shared" si="2"/>
        <v>0.35922950622628658</v>
      </c>
      <c r="L19">
        <f t="shared" si="3"/>
        <v>0.35922950622628658</v>
      </c>
      <c r="M19">
        <f t="shared" si="4"/>
        <v>35.771364655405776</v>
      </c>
      <c r="N19">
        <f t="shared" si="5"/>
        <v>15.535306279991744</v>
      </c>
      <c r="P19">
        <f t="shared" si="6"/>
        <v>-3.2649934220494914</v>
      </c>
      <c r="Q19">
        <f t="shared" si="7"/>
        <v>1.6583080640644574</v>
      </c>
      <c r="R19">
        <f t="shared" si="8"/>
        <v>-3.6257862174987321</v>
      </c>
      <c r="T19">
        <f t="shared" si="9"/>
        <v>-5.2324715754837658</v>
      </c>
      <c r="V19" s="7">
        <f t="shared" si="10"/>
        <v>5.3403099988079796E-3</v>
      </c>
      <c r="W19">
        <f t="shared" si="11"/>
        <v>323.07692307692304</v>
      </c>
      <c r="Z19" s="7">
        <f t="shared" si="12"/>
        <v>323.06806835428847</v>
      </c>
      <c r="AA19" s="7">
        <f t="shared" si="13"/>
        <v>7.8406112935109067E-5</v>
      </c>
    </row>
    <row r="20" spans="3:27">
      <c r="G20">
        <f t="shared" si="14"/>
        <v>1.1800000000000002</v>
      </c>
      <c r="I20">
        <f t="shared" si="0"/>
        <v>-1.3978530890798311</v>
      </c>
      <c r="J20">
        <f t="shared" si="1"/>
        <v>0.71045605230079834</v>
      </c>
      <c r="K20">
        <f t="shared" si="2"/>
        <v>0.36574841105027617</v>
      </c>
      <c r="L20">
        <f t="shared" si="3"/>
        <v>0.36574841105027617</v>
      </c>
      <c r="M20">
        <f t="shared" si="4"/>
        <v>37.22883660193984</v>
      </c>
      <c r="N20">
        <f t="shared" si="5"/>
        <v>16.16827830390028</v>
      </c>
      <c r="P20">
        <f t="shared" si="6"/>
        <v>-3.2649934220494914</v>
      </c>
      <c r="Q20">
        <f t="shared" si="7"/>
        <v>1.2561666727717591</v>
      </c>
      <c r="R20">
        <f t="shared" si="8"/>
        <v>-3.7735156023584082</v>
      </c>
      <c r="T20">
        <f t="shared" si="9"/>
        <v>-5.7823423516361405</v>
      </c>
      <c r="V20" s="7">
        <f t="shared" si="10"/>
        <v>3.0814890173250344E-3</v>
      </c>
      <c r="W20">
        <f t="shared" si="11"/>
        <v>320.33898305084739</v>
      </c>
      <c r="Z20" s="7">
        <f t="shared" si="12"/>
        <v>320.56571642617428</v>
      </c>
      <c r="AA20" s="7">
        <f t="shared" si="13"/>
        <v>5.1408023487123103E-2</v>
      </c>
    </row>
    <row r="21" spans="3:27">
      <c r="C21" t="s">
        <v>21</v>
      </c>
      <c r="G21">
        <f t="shared" si="14"/>
        <v>1.1900000000000002</v>
      </c>
      <c r="I21">
        <f t="shared" si="0"/>
        <v>-0.95035308907983307</v>
      </c>
      <c r="J21">
        <f t="shared" si="1"/>
        <v>0.73900433712611757</v>
      </c>
      <c r="K21">
        <f t="shared" si="2"/>
        <v>0.3721577544486524</v>
      </c>
      <c r="L21">
        <f t="shared" si="3"/>
        <v>0.3721577544486524</v>
      </c>
      <c r="M21">
        <f t="shared" si="4"/>
        <v>38.686308548473896</v>
      </c>
      <c r="N21">
        <f t="shared" si="5"/>
        <v>16.801250327808813</v>
      </c>
      <c r="P21">
        <f t="shared" si="6"/>
        <v>-3.2649934220494914</v>
      </c>
      <c r="Q21">
        <f t="shared" si="7"/>
        <v>0.85402528147906054</v>
      </c>
      <c r="R21">
        <f t="shared" si="8"/>
        <v>-3.9212449872180835</v>
      </c>
      <c r="T21">
        <f t="shared" si="9"/>
        <v>-6.3322131277885143</v>
      </c>
      <c r="V21" s="7">
        <f t="shared" si="10"/>
        <v>1.7780942615717701E-3</v>
      </c>
      <c r="W21">
        <f t="shared" si="11"/>
        <v>317.64705882352939</v>
      </c>
      <c r="Z21" s="7">
        <f t="shared" si="12"/>
        <v>318.06336449806003</v>
      </c>
      <c r="AA21" s="7">
        <f t="shared" si="13"/>
        <v>0.17331041464640576</v>
      </c>
    </row>
    <row r="22" spans="3:27">
      <c r="C22">
        <v>0.89500000000000002</v>
      </c>
      <c r="G22">
        <f t="shared" si="14"/>
        <v>1.2000000000000002</v>
      </c>
      <c r="I22">
        <f t="shared" si="0"/>
        <v>-0.50285308907982795</v>
      </c>
      <c r="J22">
        <f t="shared" si="1"/>
        <v>0.76566625204577998</v>
      </c>
      <c r="K22">
        <f t="shared" si="2"/>
        <v>0.37846027545705574</v>
      </c>
      <c r="L22">
        <f t="shared" si="3"/>
        <v>0.37846027545705574</v>
      </c>
      <c r="M22">
        <f t="shared" si="4"/>
        <v>40.143780495007967</v>
      </c>
      <c r="N22">
        <f t="shared" si="5"/>
        <v>17.434222351717349</v>
      </c>
      <c r="P22">
        <f t="shared" si="6"/>
        <v>-3.2649934220494914</v>
      </c>
      <c r="Q22">
        <f t="shared" si="7"/>
        <v>0.45188389018635566</v>
      </c>
      <c r="R22">
        <f t="shared" si="8"/>
        <v>-4.0689743720777605</v>
      </c>
      <c r="T22">
        <f t="shared" si="9"/>
        <v>-6.8820839039408961</v>
      </c>
      <c r="V22" s="7">
        <f t="shared" si="10"/>
        <v>1.0260037226350258E-3</v>
      </c>
      <c r="W22">
        <f t="shared" si="11"/>
        <v>314.99999999999994</v>
      </c>
      <c r="Z22" s="7">
        <f t="shared" si="12"/>
        <v>315.56101256994577</v>
      </c>
      <c r="AA22" s="7">
        <f t="shared" si="13"/>
        <v>0.31473510363722573</v>
      </c>
    </row>
    <row r="23" spans="3:27">
      <c r="G23">
        <f t="shared" si="14"/>
        <v>1.2100000000000002</v>
      </c>
      <c r="I23">
        <f t="shared" si="0"/>
        <v>-5.5353089079829942E-2</v>
      </c>
      <c r="J23">
        <f t="shared" si="1"/>
        <v>0.79037710478192713</v>
      </c>
      <c r="K23">
        <f t="shared" si="2"/>
        <v>0.38465862256449379</v>
      </c>
      <c r="L23">
        <f t="shared" si="3"/>
        <v>0.38465862256449379</v>
      </c>
      <c r="M23">
        <f t="shared" si="4"/>
        <v>41.60125244154203</v>
      </c>
      <c r="N23">
        <f t="shared" si="5"/>
        <v>18.067194375625885</v>
      </c>
      <c r="P23">
        <f t="shared" si="6"/>
        <v>-3.2649934220494914</v>
      </c>
      <c r="Q23">
        <f t="shared" si="7"/>
        <v>4.9742498893657179E-2</v>
      </c>
      <c r="R23">
        <f t="shared" si="8"/>
        <v>-4.216703756937437</v>
      </c>
      <c r="T23">
        <f t="shared" si="9"/>
        <v>-7.4319546800932716</v>
      </c>
      <c r="V23" s="7">
        <f t="shared" si="10"/>
        <v>5.9202915256607587E-4</v>
      </c>
      <c r="W23">
        <f t="shared" si="11"/>
        <v>312.39669421487599</v>
      </c>
      <c r="Z23" s="7">
        <f t="shared" si="12"/>
        <v>313.05866064183152</v>
      </c>
      <c r="AA23" s="7">
        <f t="shared" si="13"/>
        <v>0.43819955041627118</v>
      </c>
    </row>
    <row r="24" spans="3:27">
      <c r="G24">
        <f t="shared" si="14"/>
        <v>1.2200000000000002</v>
      </c>
      <c r="I24">
        <f t="shared" si="0"/>
        <v>0.39214691092016807</v>
      </c>
      <c r="J24">
        <f t="shared" si="1"/>
        <v>0.8131181764480081</v>
      </c>
      <c r="K24">
        <f t="shared" si="2"/>
        <v>0.39075535742426887</v>
      </c>
      <c r="L24">
        <f t="shared" si="3"/>
        <v>0.39075535742426887</v>
      </c>
      <c r="M24">
        <f t="shared" si="4"/>
        <v>43.058724388076094</v>
      </c>
      <c r="N24">
        <f t="shared" si="5"/>
        <v>18.700166399534421</v>
      </c>
      <c r="P24">
        <f t="shared" si="6"/>
        <v>-3.2649934220494914</v>
      </c>
      <c r="Q24">
        <f t="shared" si="7"/>
        <v>-0.35239889239904132</v>
      </c>
      <c r="R24">
        <f t="shared" si="8"/>
        <v>-4.3644331417971127</v>
      </c>
      <c r="T24">
        <f t="shared" si="9"/>
        <v>-7.9818254562456454</v>
      </c>
      <c r="V24" s="7">
        <f t="shared" si="10"/>
        <v>3.4161524929747977E-4</v>
      </c>
      <c r="W24">
        <f t="shared" si="11"/>
        <v>309.83606557377044</v>
      </c>
      <c r="Z24" s="7">
        <f t="shared" si="12"/>
        <v>310.55630871371733</v>
      </c>
      <c r="AA24" s="7">
        <f t="shared" si="13"/>
        <v>0.51875018064055223</v>
      </c>
    </row>
    <row r="25" spans="3:27">
      <c r="G25">
        <f t="shared" si="14"/>
        <v>1.2300000000000002</v>
      </c>
      <c r="I25">
        <f t="shared" si="0"/>
        <v>0.83964691092017318</v>
      </c>
      <c r="J25">
        <f t="shared" si="1"/>
        <v>0.83391059934026635</v>
      </c>
      <c r="K25">
        <f t="shared" si="2"/>
        <v>0.39675295838388508</v>
      </c>
      <c r="L25">
        <f t="shared" si="3"/>
        <v>0.39675295838388508</v>
      </c>
      <c r="M25">
        <f t="shared" si="4"/>
        <v>44.516196334610171</v>
      </c>
      <c r="N25">
        <f t="shared" si="5"/>
        <v>19.333138423442961</v>
      </c>
      <c r="P25">
        <f t="shared" si="6"/>
        <v>-3.2649934220494914</v>
      </c>
      <c r="Q25">
        <f t="shared" si="7"/>
        <v>-0.75454028369174619</v>
      </c>
      <c r="R25">
        <f t="shared" si="8"/>
        <v>-4.5121625266567902</v>
      </c>
      <c r="T25">
        <f t="shared" si="9"/>
        <v>-8.5316962323980281</v>
      </c>
      <c r="V25" s="7">
        <f t="shared" si="10"/>
        <v>1.9712032430624823E-4</v>
      </c>
      <c r="W25">
        <f t="shared" si="11"/>
        <v>307.31707317073165</v>
      </c>
      <c r="Z25" s="7">
        <f t="shared" si="12"/>
        <v>308.05395678560308</v>
      </c>
      <c r="AA25" s="7">
        <f t="shared" si="13"/>
        <v>0.54299746186598719</v>
      </c>
    </row>
    <row r="26" spans="3:27">
      <c r="G26">
        <f t="shared" si="14"/>
        <v>1.2400000000000002</v>
      </c>
      <c r="I26">
        <f t="shared" si="0"/>
        <v>1.2871469109201712</v>
      </c>
      <c r="J26">
        <f t="shared" si="1"/>
        <v>0.85280842964676362</v>
      </c>
      <c r="K26">
        <f t="shared" si="2"/>
        <v>0.4026538238441526</v>
      </c>
      <c r="L26">
        <f t="shared" si="3"/>
        <v>0.4026538238441526</v>
      </c>
      <c r="M26">
        <f t="shared" si="4"/>
        <v>45.973668281144235</v>
      </c>
      <c r="N26">
        <f t="shared" si="5"/>
        <v>19.966110447351497</v>
      </c>
      <c r="P26">
        <f t="shared" si="6"/>
        <v>-3.2649934220494914</v>
      </c>
      <c r="Q26">
        <f t="shared" si="7"/>
        <v>-1.1566816749844446</v>
      </c>
      <c r="R26">
        <f t="shared" si="8"/>
        <v>-4.6598919115164668</v>
      </c>
      <c r="T26">
        <f t="shared" si="9"/>
        <v>-9.0815670085504028</v>
      </c>
      <c r="V26" s="7">
        <f t="shared" si="10"/>
        <v>1.1374323111894951E-4</v>
      </c>
      <c r="W26">
        <f t="shared" si="11"/>
        <v>304.83870967741927</v>
      </c>
      <c r="Z26" s="7">
        <f t="shared" si="12"/>
        <v>305.55160485748883</v>
      </c>
      <c r="AA26" s="7">
        <f t="shared" si="13"/>
        <v>0.50821953776639861</v>
      </c>
    </row>
    <row r="27" spans="3:27">
      <c r="G27">
        <f t="shared" si="14"/>
        <v>1.2500000000000002</v>
      </c>
      <c r="I27">
        <f t="shared" si="0"/>
        <v>1.7346469109201692</v>
      </c>
      <c r="J27">
        <f t="shared" si="1"/>
        <v>0.86989152563700245</v>
      </c>
      <c r="K27">
        <f t="shared" si="2"/>
        <v>0.40846027545705588</v>
      </c>
      <c r="L27">
        <f t="shared" si="3"/>
        <v>0.40846027545705588</v>
      </c>
      <c r="M27">
        <f t="shared" si="4"/>
        <v>47.431140227678299</v>
      </c>
      <c r="N27">
        <f t="shared" si="5"/>
        <v>20.599082471260029</v>
      </c>
      <c r="P27">
        <f t="shared" si="6"/>
        <v>-3.2649934220494914</v>
      </c>
      <c r="Q27">
        <f t="shared" si="7"/>
        <v>-1.5588230662771432</v>
      </c>
      <c r="R27">
        <f t="shared" si="8"/>
        <v>-4.8076212963761424</v>
      </c>
      <c r="T27">
        <f t="shared" si="9"/>
        <v>-9.6314377847027774</v>
      </c>
      <c r="V27" s="7">
        <f t="shared" si="10"/>
        <v>6.5632616377390342E-5</v>
      </c>
      <c r="W27">
        <f t="shared" si="11"/>
        <v>302.39999999999992</v>
      </c>
      <c r="Z27" s="7">
        <f t="shared" si="12"/>
        <v>303.04925292937457</v>
      </c>
      <c r="AA27" s="7">
        <f t="shared" si="13"/>
        <v>0.42152936630156984</v>
      </c>
    </row>
    <row r="28" spans="3:27">
      <c r="G28">
        <f t="shared" si="14"/>
        <v>1.2600000000000002</v>
      </c>
      <c r="I28">
        <f t="shared" si="0"/>
        <v>2.1821469109201743</v>
      </c>
      <c r="J28">
        <f t="shared" si="1"/>
        <v>0.88525871121364963</v>
      </c>
      <c r="K28">
        <f t="shared" si="2"/>
        <v>0.41417456117134155</v>
      </c>
      <c r="L28">
        <f t="shared" si="3"/>
        <v>0.41417456117134155</v>
      </c>
      <c r="M28">
        <f t="shared" si="4"/>
        <v>48.888612174212369</v>
      </c>
      <c r="N28">
        <f t="shared" si="5"/>
        <v>21.232054495168569</v>
      </c>
      <c r="P28">
        <f t="shared" si="6"/>
        <v>-3.2649934220494914</v>
      </c>
      <c r="Q28">
        <f t="shared" si="7"/>
        <v>-1.9609644575698479</v>
      </c>
      <c r="R28">
        <f t="shared" si="8"/>
        <v>-4.9553506812358199</v>
      </c>
      <c r="T28">
        <f t="shared" si="9"/>
        <v>-10.181308560855159</v>
      </c>
      <c r="V28" s="7">
        <f t="shared" si="10"/>
        <v>3.7871619173864033E-5</v>
      </c>
      <c r="W28">
        <f t="shared" si="11"/>
        <v>299.99999999999994</v>
      </c>
      <c r="Z28" s="7">
        <f t="shared" si="12"/>
        <v>300.54690100126032</v>
      </c>
      <c r="AA28" s="7">
        <f t="shared" si="13"/>
        <v>0.29910070517960652</v>
      </c>
    </row>
    <row r="29" spans="3:27">
      <c r="G29">
        <f t="shared" si="14"/>
        <v>1.2700000000000002</v>
      </c>
      <c r="I29">
        <f t="shared" si="0"/>
        <v>2.6296469109201723</v>
      </c>
      <c r="J29">
        <f t="shared" si="1"/>
        <v>0.89902156111854581</v>
      </c>
      <c r="K29">
        <f t="shared" si="2"/>
        <v>0.41979885813422124</v>
      </c>
      <c r="L29">
        <f t="shared" si="3"/>
        <v>0.41979885813422124</v>
      </c>
      <c r="M29">
        <f t="shared" si="4"/>
        <v>50.34608412074644</v>
      </c>
      <c r="N29">
        <f t="shared" si="5"/>
        <v>21.865026519077105</v>
      </c>
      <c r="P29">
        <f t="shared" si="6"/>
        <v>-3.2649934220494914</v>
      </c>
      <c r="Q29">
        <f t="shared" si="7"/>
        <v>-2.3631058488625465</v>
      </c>
      <c r="R29">
        <f t="shared" si="8"/>
        <v>-5.1030800660954965</v>
      </c>
      <c r="T29">
        <f t="shared" si="9"/>
        <v>-10.731179337007536</v>
      </c>
      <c r="V29" s="7">
        <f t="shared" si="10"/>
        <v>2.1852847227712818E-5</v>
      </c>
      <c r="W29">
        <f t="shared" si="11"/>
        <v>297.63779527559052</v>
      </c>
      <c r="Z29" s="7">
        <f t="shared" si="12"/>
        <v>298.04454907314613</v>
      </c>
      <c r="AA29" s="7">
        <f t="shared" si="13"/>
        <v>0.16544865182590957</v>
      </c>
    </row>
    <row r="30" spans="3:27">
      <c r="G30">
        <f t="shared" si="14"/>
        <v>1.2800000000000002</v>
      </c>
      <c r="I30">
        <f t="shared" si="0"/>
        <v>3.0771469109201703</v>
      </c>
      <c r="J30">
        <f t="shared" si="1"/>
        <v>0.91129900881413695</v>
      </c>
      <c r="K30">
        <f t="shared" si="2"/>
        <v>0.42533527545705579</v>
      </c>
      <c r="L30">
        <f t="shared" si="3"/>
        <v>0.42533527545705579</v>
      </c>
      <c r="M30">
        <f t="shared" si="4"/>
        <v>51.803556067280489</v>
      </c>
      <c r="N30">
        <f t="shared" si="5"/>
        <v>22.497998542985634</v>
      </c>
      <c r="P30">
        <f t="shared" si="6"/>
        <v>-3.2649934220494914</v>
      </c>
      <c r="Q30">
        <f t="shared" si="7"/>
        <v>-2.765247240155245</v>
      </c>
      <c r="R30">
        <f t="shared" si="8"/>
        <v>-5.2508094509551713</v>
      </c>
      <c r="T30">
        <f t="shared" si="9"/>
        <v>-11.281050113159907</v>
      </c>
      <c r="V30" s="7">
        <f t="shared" si="10"/>
        <v>1.2609625423338728E-5</v>
      </c>
      <c r="W30">
        <f t="shared" si="11"/>
        <v>295.31249999999994</v>
      </c>
      <c r="Z30" s="7">
        <f t="shared" si="12"/>
        <v>295.54219714503188</v>
      </c>
      <c r="AA30" s="7">
        <f t="shared" si="13"/>
        <v>5.2760778435821658E-2</v>
      </c>
    </row>
    <row r="31" spans="3:27">
      <c r="G31">
        <f t="shared" si="14"/>
        <v>1.2900000000000003</v>
      </c>
      <c r="I31">
        <f t="shared" si="0"/>
        <v>3.5246469109201755</v>
      </c>
      <c r="J31">
        <f t="shared" si="1"/>
        <v>0.92221286411063264</v>
      </c>
      <c r="K31">
        <f t="shared" si="2"/>
        <v>0.43078585685240467</v>
      </c>
      <c r="L31">
        <f t="shared" si="3"/>
        <v>0.43078585685240467</v>
      </c>
      <c r="M31">
        <f t="shared" si="4"/>
        <v>53.261028013814567</v>
      </c>
      <c r="N31">
        <f t="shared" si="5"/>
        <v>23.130970566894177</v>
      </c>
      <c r="P31">
        <f t="shared" si="6"/>
        <v>-3.2649934220494914</v>
      </c>
      <c r="Q31">
        <f t="shared" si="7"/>
        <v>-3.1673886314479498</v>
      </c>
      <c r="R31">
        <f t="shared" si="8"/>
        <v>-5.3985388358148487</v>
      </c>
      <c r="T31">
        <f t="shared" si="9"/>
        <v>-11.83092088931229</v>
      </c>
      <c r="V31" s="7">
        <f t="shared" si="10"/>
        <v>7.276061176836868E-6</v>
      </c>
      <c r="W31">
        <f t="shared" si="11"/>
        <v>293.02325581395343</v>
      </c>
      <c r="Z31" s="7">
        <f t="shared" si="12"/>
        <v>293.03984521691763</v>
      </c>
      <c r="AA31" s="7">
        <f t="shared" si="13"/>
        <v>2.752082907086216E-4</v>
      </c>
    </row>
    <row r="32" spans="3:27">
      <c r="G32">
        <f t="shared" si="14"/>
        <v>1.3000000000000003</v>
      </c>
      <c r="I32">
        <f t="shared" si="0"/>
        <v>3.9721469109201735</v>
      </c>
      <c r="J32">
        <f t="shared" si="1"/>
        <v>0.93188424062168995</v>
      </c>
      <c r="K32">
        <f t="shared" si="2"/>
        <v>0.43615258314936356</v>
      </c>
      <c r="L32">
        <f t="shared" si="3"/>
        <v>0.43615258314936356</v>
      </c>
      <c r="M32">
        <f t="shared" si="4"/>
        <v>54.71849996034863</v>
      </c>
      <c r="N32">
        <f t="shared" si="5"/>
        <v>23.763942590802714</v>
      </c>
      <c r="P32">
        <f t="shared" si="6"/>
        <v>-3.2649934220494914</v>
      </c>
      <c r="Q32">
        <f t="shared" si="7"/>
        <v>-3.5695300227406483</v>
      </c>
      <c r="R32">
        <f t="shared" si="8"/>
        <v>-5.5462682206745244</v>
      </c>
      <c r="T32">
        <f t="shared" si="9"/>
        <v>-12.380791665464663</v>
      </c>
      <c r="V32" s="7">
        <f t="shared" si="10"/>
        <v>4.1984646229924045E-6</v>
      </c>
      <c r="W32">
        <f t="shared" si="11"/>
        <v>290.76923076923072</v>
      </c>
      <c r="Z32" s="7">
        <f t="shared" si="12"/>
        <v>290.53749328880343</v>
      </c>
      <c r="AA32" s="7">
        <f t="shared" si="13"/>
        <v>5.3702259834786055E-2</v>
      </c>
    </row>
    <row r="33" spans="7:27">
      <c r="G33">
        <f t="shared" si="14"/>
        <v>1.3100000000000003</v>
      </c>
      <c r="I33">
        <f t="shared" si="0"/>
        <v>4.4196469109201715</v>
      </c>
      <c r="J33">
        <f t="shared" si="1"/>
        <v>0.94043083326630927</v>
      </c>
      <c r="K33">
        <f t="shared" si="2"/>
        <v>0.44143737469369704</v>
      </c>
      <c r="L33">
        <f t="shared" si="3"/>
        <v>0.44143737469369704</v>
      </c>
      <c r="M33">
        <f t="shared" si="4"/>
        <v>56.175971906882687</v>
      </c>
      <c r="N33">
        <f t="shared" si="5"/>
        <v>24.396914614711243</v>
      </c>
      <c r="P33">
        <f t="shared" si="6"/>
        <v>-3.2649934220494914</v>
      </c>
      <c r="Q33">
        <f t="shared" si="7"/>
        <v>-3.9716714140333469</v>
      </c>
      <c r="R33">
        <f t="shared" si="8"/>
        <v>-5.6939976055342001</v>
      </c>
      <c r="T33">
        <f t="shared" si="9"/>
        <v>-12.930662441617038</v>
      </c>
      <c r="V33" s="7">
        <f t="shared" si="10"/>
        <v>2.4226164077116489E-6</v>
      </c>
      <c r="W33">
        <f t="shared" si="11"/>
        <v>288.54961832061065</v>
      </c>
      <c r="Z33" s="7">
        <f t="shared" si="12"/>
        <v>288.03514136068918</v>
      </c>
      <c r="AA33" s="7">
        <f t="shared" si="13"/>
        <v>0.26468654229003469</v>
      </c>
    </row>
    <row r="34" spans="7:27">
      <c r="G34">
        <f t="shared" si="14"/>
        <v>1.3200000000000003</v>
      </c>
      <c r="I34">
        <f t="shared" si="0"/>
        <v>4.8671469109201766</v>
      </c>
      <c r="J34">
        <f t="shared" si="1"/>
        <v>0.94796495004850811</v>
      </c>
      <c r="K34">
        <f t="shared" si="2"/>
        <v>0.44664209363887397</v>
      </c>
      <c r="L34">
        <f t="shared" si="3"/>
        <v>0.44664209363887397</v>
      </c>
      <c r="M34">
        <f t="shared" si="4"/>
        <v>57.633443853416757</v>
      </c>
      <c r="N34">
        <f t="shared" si="5"/>
        <v>25.029886638619782</v>
      </c>
      <c r="P34">
        <f t="shared" si="6"/>
        <v>-3.2649934220494914</v>
      </c>
      <c r="Q34">
        <f t="shared" si="7"/>
        <v>-4.3738128053260512</v>
      </c>
      <c r="R34">
        <f t="shared" si="8"/>
        <v>-5.8417269903938775</v>
      </c>
      <c r="T34">
        <f t="shared" si="9"/>
        <v>-13.48053321776942</v>
      </c>
      <c r="V34" s="7">
        <f t="shared" si="10"/>
        <v>1.3979087085246279E-6</v>
      </c>
      <c r="W34">
        <f t="shared" si="11"/>
        <v>286.36363636363632</v>
      </c>
      <c r="Z34" s="7">
        <f t="shared" si="12"/>
        <v>285.53278943257493</v>
      </c>
      <c r="AA34" s="7">
        <f t="shared" si="13"/>
        <v>0.6903066228541257</v>
      </c>
    </row>
    <row r="35" spans="7:27">
      <c r="G35">
        <f t="shared" si="14"/>
        <v>1.3300000000000003</v>
      </c>
      <c r="I35">
        <f t="shared" si="0"/>
        <v>5.3146469109201746</v>
      </c>
      <c r="J35">
        <f t="shared" si="1"/>
        <v>0.9545921853872591</v>
      </c>
      <c r="K35">
        <f t="shared" si="2"/>
        <v>0.45176854613374756</v>
      </c>
      <c r="L35">
        <f t="shared" si="3"/>
        <v>0.45176854613374756</v>
      </c>
      <c r="M35">
        <f t="shared" si="4"/>
        <v>59.090915799950828</v>
      </c>
      <c r="N35">
        <f t="shared" si="5"/>
        <v>25.662858662528318</v>
      </c>
      <c r="P35">
        <f t="shared" si="6"/>
        <v>-3.2649934220494914</v>
      </c>
      <c r="Q35">
        <f t="shared" si="7"/>
        <v>-4.7759541966187502</v>
      </c>
      <c r="R35">
        <f t="shared" si="8"/>
        <v>-5.9894563752535541</v>
      </c>
      <c r="T35">
        <f t="shared" si="9"/>
        <v>-14.030403993921794</v>
      </c>
      <c r="V35" s="7">
        <f t="shared" si="10"/>
        <v>8.0662739307328231E-7</v>
      </c>
      <c r="W35">
        <f t="shared" si="11"/>
        <v>284.21052631578942</v>
      </c>
      <c r="Z35" s="7">
        <f t="shared" si="12"/>
        <v>283.03043750446068</v>
      </c>
      <c r="AA35" s="7">
        <f t="shared" si="13"/>
        <v>1.3926096026232884</v>
      </c>
    </row>
    <row r="36" spans="7:27">
      <c r="G36">
        <f t="shared" si="14"/>
        <v>1.3400000000000003</v>
      </c>
      <c r="I36">
        <f t="shared" si="0"/>
        <v>5.7621469109201726</v>
      </c>
      <c r="J36">
        <f t="shared" si="1"/>
        <v>0.96041061917479109</v>
      </c>
      <c r="K36">
        <f t="shared" si="2"/>
        <v>0.45681848441227974</v>
      </c>
      <c r="L36">
        <f t="shared" si="3"/>
        <v>0.45681848441227974</v>
      </c>
      <c r="M36">
        <f t="shared" si="4"/>
        <v>60.548387746484892</v>
      </c>
      <c r="N36">
        <f t="shared" si="5"/>
        <v>26.295830686436855</v>
      </c>
      <c r="P36">
        <f t="shared" si="6"/>
        <v>-3.2649934220494914</v>
      </c>
      <c r="Q36">
        <f t="shared" si="7"/>
        <v>-5.1780955879114483</v>
      </c>
      <c r="R36">
        <f t="shared" si="8"/>
        <v>-6.1371857601132298</v>
      </c>
      <c r="T36">
        <f t="shared" si="9"/>
        <v>-14.580274770074169</v>
      </c>
      <c r="V36" s="7">
        <f t="shared" si="10"/>
        <v>4.6544366401644495E-7</v>
      </c>
      <c r="W36">
        <f t="shared" si="11"/>
        <v>282.08955223880588</v>
      </c>
      <c r="Z36" s="7">
        <f t="shared" si="12"/>
        <v>280.52808557634648</v>
      </c>
      <c r="AA36" s="7">
        <f t="shared" si="13"/>
        <v>2.4381781379720828</v>
      </c>
    </row>
    <row r="37" spans="7:27">
      <c r="G37">
        <f t="shared" si="14"/>
        <v>1.3500000000000003</v>
      </c>
      <c r="I37">
        <f t="shared" si="0"/>
        <v>6.2096469109201777</v>
      </c>
      <c r="J37">
        <f t="shared" si="1"/>
        <v>0.96551043183103791</v>
      </c>
      <c r="K37">
        <f t="shared" si="2"/>
        <v>0.46179360879038917</v>
      </c>
      <c r="L37">
        <f t="shared" si="3"/>
        <v>0.46179360879038917</v>
      </c>
      <c r="M37">
        <f t="shared" si="4"/>
        <v>62.005859693018962</v>
      </c>
      <c r="N37">
        <f t="shared" si="5"/>
        <v>26.928802710345394</v>
      </c>
      <c r="P37">
        <f t="shared" si="6"/>
        <v>-3.2649934220494914</v>
      </c>
      <c r="Q37">
        <f t="shared" si="7"/>
        <v>-5.5802369792041535</v>
      </c>
      <c r="R37">
        <f t="shared" si="8"/>
        <v>-6.2849151449729073</v>
      </c>
      <c r="T37">
        <f t="shared" si="9"/>
        <v>-15.130145546226551</v>
      </c>
      <c r="V37" s="7">
        <f t="shared" si="10"/>
        <v>2.6857233740556857E-7</v>
      </c>
      <c r="W37">
        <f t="shared" si="11"/>
        <v>279.99999999999994</v>
      </c>
      <c r="Z37" s="7">
        <f t="shared" si="12"/>
        <v>278.02573364823223</v>
      </c>
      <c r="AA37" s="7">
        <f t="shared" si="13"/>
        <v>3.8977276277221837</v>
      </c>
    </row>
    <row r="38" spans="7:27">
      <c r="G38">
        <f t="shared" si="14"/>
        <v>1.3600000000000003</v>
      </c>
      <c r="I38">
        <f t="shared" si="0"/>
        <v>6.6571469109201757</v>
      </c>
      <c r="J38">
        <f t="shared" si="1"/>
        <v>0.96997383707674867</v>
      </c>
      <c r="K38">
        <f t="shared" si="2"/>
        <v>0.46669556957470293</v>
      </c>
      <c r="L38">
        <f t="shared" si="3"/>
        <v>0.46669556957470293</v>
      </c>
      <c r="M38">
        <f t="shared" si="4"/>
        <v>63.463331639553026</v>
      </c>
      <c r="N38">
        <f t="shared" si="5"/>
        <v>27.561774734253927</v>
      </c>
      <c r="P38">
        <f t="shared" si="6"/>
        <v>-3.2649934220494914</v>
      </c>
      <c r="Q38">
        <f t="shared" si="7"/>
        <v>-5.9823783704968516</v>
      </c>
      <c r="R38">
        <f t="shared" si="8"/>
        <v>-6.4326445298325829</v>
      </c>
      <c r="T38">
        <f t="shared" si="9"/>
        <v>-15.680016322378926</v>
      </c>
      <c r="V38" s="7">
        <f t="shared" si="10"/>
        <v>1.5497278402514158E-7</v>
      </c>
      <c r="W38">
        <f t="shared" si="11"/>
        <v>277.94117647058818</v>
      </c>
      <c r="Z38" s="7">
        <f t="shared" si="12"/>
        <v>275.52338172011798</v>
      </c>
      <c r="AA38" s="7">
        <f t="shared" si="13"/>
        <v>5.8457314554012241</v>
      </c>
    </row>
    <row r="39" spans="7:27">
      <c r="G39">
        <f t="shared" si="14"/>
        <v>1.3700000000000003</v>
      </c>
      <c r="I39">
        <f t="shared" si="0"/>
        <v>7.1046469109201738</v>
      </c>
      <c r="J39">
        <f t="shared" si="1"/>
        <v>0.97387524810464821</v>
      </c>
      <c r="K39">
        <f t="shared" si="2"/>
        <v>0.47152596888771281</v>
      </c>
      <c r="L39">
        <f t="shared" si="3"/>
        <v>0.47152596888771281</v>
      </c>
      <c r="M39">
        <f t="shared" si="4"/>
        <v>64.920803586087089</v>
      </c>
      <c r="N39">
        <f t="shared" si="5"/>
        <v>28.194746758162463</v>
      </c>
      <c r="P39">
        <f t="shared" si="6"/>
        <v>-3.2649934220494914</v>
      </c>
      <c r="Q39">
        <f t="shared" si="7"/>
        <v>-6.3845197617895506</v>
      </c>
      <c r="R39">
        <f t="shared" si="8"/>
        <v>-6.5803739146922595</v>
      </c>
      <c r="T39">
        <f t="shared" si="9"/>
        <v>-16.2298870985313</v>
      </c>
      <c r="V39" s="7">
        <f t="shared" si="10"/>
        <v>8.9423073204430534E-8</v>
      </c>
      <c r="W39">
        <f t="shared" si="11"/>
        <v>275.91240875912405</v>
      </c>
      <c r="Z39" s="7">
        <f t="shared" si="12"/>
        <v>273.02102979200379</v>
      </c>
      <c r="AA39" s="7">
        <f t="shared" si="13"/>
        <v>8.3600723315054264</v>
      </c>
    </row>
    <row r="40" spans="7:27">
      <c r="G40">
        <f t="shared" si="14"/>
        <v>1.3800000000000003</v>
      </c>
      <c r="I40">
        <f t="shared" si="0"/>
        <v>7.5521469109201789</v>
      </c>
      <c r="J40">
        <f t="shared" si="1"/>
        <v>0.97728160730570091</v>
      </c>
      <c r="K40">
        <f t="shared" si="2"/>
        <v>0.47628636241357764</v>
      </c>
      <c r="L40">
        <f t="shared" si="3"/>
        <v>0.47628636241357764</v>
      </c>
      <c r="M40">
        <f t="shared" si="4"/>
        <v>66.37827553262116</v>
      </c>
      <c r="N40">
        <f t="shared" si="5"/>
        <v>28.827718782071003</v>
      </c>
      <c r="P40">
        <f t="shared" si="6"/>
        <v>-3.2649934220494914</v>
      </c>
      <c r="Q40">
        <f t="shared" si="7"/>
        <v>-6.7866611530822549</v>
      </c>
      <c r="R40">
        <f t="shared" si="8"/>
        <v>-6.7281032995519361</v>
      </c>
      <c r="T40">
        <f t="shared" si="9"/>
        <v>-16.779757874683682</v>
      </c>
      <c r="V40" s="7">
        <f t="shared" si="10"/>
        <v>5.159929255725056E-8</v>
      </c>
      <c r="W40">
        <f t="shared" si="11"/>
        <v>273.91304347826082</v>
      </c>
      <c r="Z40" s="7">
        <f t="shared" si="12"/>
        <v>270.51867786388948</v>
      </c>
      <c r="AA40" s="7">
        <f t="shared" si="13"/>
        <v>11.521717924026513</v>
      </c>
    </row>
    <row r="41" spans="7:27">
      <c r="G41">
        <f t="shared" si="14"/>
        <v>1.3900000000000003</v>
      </c>
      <c r="I41">
        <f t="shared" si="0"/>
        <v>7.9996469109201769</v>
      </c>
      <c r="J41">
        <f t="shared" si="1"/>
        <v>0.98025282345249398</v>
      </c>
      <c r="K41">
        <f t="shared" si="2"/>
        <v>0.48097826106856661</v>
      </c>
      <c r="L41">
        <f t="shared" si="3"/>
        <v>0.48097826106856661</v>
      </c>
      <c r="M41">
        <f t="shared" si="4"/>
        <v>67.835747479155231</v>
      </c>
      <c r="N41">
        <f t="shared" si="5"/>
        <v>29.460690805979539</v>
      </c>
      <c r="P41">
        <f t="shared" si="6"/>
        <v>-3.2649934220494914</v>
      </c>
      <c r="Q41">
        <f t="shared" si="7"/>
        <v>-7.1888025443749539</v>
      </c>
      <c r="R41">
        <f t="shared" si="8"/>
        <v>-6.8758326844116127</v>
      </c>
      <c r="T41">
        <f t="shared" si="9"/>
        <v>-17.329628650836057</v>
      </c>
      <c r="V41" s="7">
        <f t="shared" si="10"/>
        <v>2.9774049325301387E-8</v>
      </c>
      <c r="W41">
        <f t="shared" si="11"/>
        <v>271.94244604316538</v>
      </c>
      <c r="Z41" s="7">
        <f t="shared" si="12"/>
        <v>268.01632593577528</v>
      </c>
      <c r="AA41" s="7">
        <f t="shared" si="13"/>
        <v>15.414419097652777</v>
      </c>
    </row>
    <row r="42" spans="7:27">
      <c r="G42">
        <f t="shared" si="14"/>
        <v>1.4000000000000004</v>
      </c>
      <c r="I42">
        <f t="shared" si="0"/>
        <v>8.4471469109201749</v>
      </c>
      <c r="J42">
        <f t="shared" si="1"/>
        <v>0.98284227255373469</v>
      </c>
      <c r="K42">
        <f t="shared" si="2"/>
        <v>0.48560313259991306</v>
      </c>
      <c r="L42">
        <f t="shared" si="3"/>
        <v>0.48560313259991306</v>
      </c>
      <c r="M42">
        <f t="shared" si="4"/>
        <v>69.293219425689301</v>
      </c>
      <c r="N42">
        <f t="shared" si="5"/>
        <v>30.093662829888078</v>
      </c>
      <c r="P42">
        <f t="shared" si="6"/>
        <v>-3.2649934220494914</v>
      </c>
      <c r="Q42">
        <f t="shared" si="7"/>
        <v>-7.590943935667652</v>
      </c>
      <c r="R42">
        <f t="shared" si="8"/>
        <v>-7.0235620692712901</v>
      </c>
      <c r="T42">
        <f t="shared" si="9"/>
        <v>-17.879499426988435</v>
      </c>
      <c r="V42" s="7">
        <f t="shared" si="10"/>
        <v>1.7180352080251725E-8</v>
      </c>
      <c r="W42">
        <f t="shared" si="11"/>
        <v>269.99999999999994</v>
      </c>
      <c r="Z42" s="7">
        <f t="shared" si="12"/>
        <v>265.51397400766103</v>
      </c>
      <c r="AA42" s="7">
        <f t="shared" si="13"/>
        <v>20.124429203940299</v>
      </c>
    </row>
    <row r="43" spans="7:27">
      <c r="G43">
        <f t="shared" si="14"/>
        <v>1.4100000000000004</v>
      </c>
      <c r="I43">
        <f t="shared" si="0"/>
        <v>8.89464691092018</v>
      </c>
      <c r="J43">
        <f t="shared" si="1"/>
        <v>0.98509732916402337</v>
      </c>
      <c r="K43">
        <f t="shared" si="2"/>
        <v>0.49016240311663034</v>
      </c>
      <c r="L43">
        <f t="shared" si="3"/>
        <v>0.49016240311663034</v>
      </c>
      <c r="M43">
        <f t="shared" si="4"/>
        <v>70.750691372223372</v>
      </c>
      <c r="N43">
        <f t="shared" si="5"/>
        <v>30.726634853796615</v>
      </c>
      <c r="P43">
        <f t="shared" si="6"/>
        <v>-3.2649934220494914</v>
      </c>
      <c r="Q43">
        <f t="shared" si="7"/>
        <v>-7.9930853269603572</v>
      </c>
      <c r="R43">
        <f t="shared" si="8"/>
        <v>-7.1712914541309667</v>
      </c>
      <c r="T43">
        <f t="shared" si="9"/>
        <v>-18.429370203140817</v>
      </c>
      <c r="V43" s="7">
        <f t="shared" si="10"/>
        <v>9.9134818504711701E-9</v>
      </c>
      <c r="W43">
        <f t="shared" si="11"/>
        <v>268.08510638297867</v>
      </c>
      <c r="Z43" s="7">
        <f t="shared" si="12"/>
        <v>263.01162207954678</v>
      </c>
      <c r="AA43" s="7">
        <f t="shared" si="13"/>
        <v>25.740242977169697</v>
      </c>
    </row>
    <row r="44" spans="7:27">
      <c r="G44">
        <f t="shared" si="14"/>
        <v>1.4200000000000004</v>
      </c>
      <c r="I44">
        <f t="shared" si="0"/>
        <v>9.342146910920178</v>
      </c>
      <c r="J44">
        <f t="shared" si="1"/>
        <v>0.98705990371006913</v>
      </c>
      <c r="K44">
        <f t="shared" si="2"/>
        <v>0.49465745855564736</v>
      </c>
      <c r="L44">
        <f t="shared" si="3"/>
        <v>0.49465745855564736</v>
      </c>
      <c r="M44">
        <f t="shared" si="4"/>
        <v>72.208163318757414</v>
      </c>
      <c r="N44">
        <f t="shared" si="5"/>
        <v>31.35960687770514</v>
      </c>
      <c r="P44">
        <f t="shared" si="6"/>
        <v>-3.2649934220494914</v>
      </c>
      <c r="Q44">
        <f t="shared" si="7"/>
        <v>-8.3952267182530562</v>
      </c>
      <c r="R44">
        <f t="shared" si="8"/>
        <v>-7.3190208389906406</v>
      </c>
      <c r="T44">
        <f t="shared" si="9"/>
        <v>-18.979240979293188</v>
      </c>
      <c r="V44" s="7">
        <f t="shared" si="10"/>
        <v>5.7203206279217526E-9</v>
      </c>
      <c r="W44">
        <f t="shared" si="11"/>
        <v>266.19718309859149</v>
      </c>
      <c r="Z44" s="7">
        <f t="shared" si="12"/>
        <v>260.50927015143259</v>
      </c>
      <c r="AA44" s="7">
        <f t="shared" si="13"/>
        <v>32.352353694457918</v>
      </c>
    </row>
    <row r="45" spans="7:27">
      <c r="G45">
        <f t="shared" si="14"/>
        <v>1.4300000000000004</v>
      </c>
      <c r="I45">
        <f t="shared" si="0"/>
        <v>9.789646910920176</v>
      </c>
      <c r="J45">
        <f t="shared" si="1"/>
        <v>0.98876696848212653</v>
      </c>
      <c r="K45">
        <f t="shared" si="2"/>
        <v>0.49908964608642647</v>
      </c>
      <c r="L45">
        <f t="shared" si="3"/>
        <v>0.49908964608642647</v>
      </c>
      <c r="M45">
        <f t="shared" si="4"/>
        <v>73.665635265291485</v>
      </c>
      <c r="N45">
        <f t="shared" si="5"/>
        <v>31.99257890161368</v>
      </c>
      <c r="P45">
        <f t="shared" si="6"/>
        <v>-3.2649934220494914</v>
      </c>
      <c r="Q45">
        <f t="shared" si="7"/>
        <v>-8.7973681095457543</v>
      </c>
      <c r="R45">
        <f t="shared" si="8"/>
        <v>-7.4667502238503172</v>
      </c>
      <c r="T45">
        <f t="shared" si="9"/>
        <v>-19.529111755445562</v>
      </c>
      <c r="V45" s="7">
        <f t="shared" si="10"/>
        <v>3.3007644115141823E-9</v>
      </c>
      <c r="W45">
        <f t="shared" si="11"/>
        <v>264.33566433566426</v>
      </c>
      <c r="Z45" s="7">
        <f t="shared" si="12"/>
        <v>258.00691822331834</v>
      </c>
      <c r="AA45" s="7">
        <f t="shared" si="13"/>
        <v>40.053027354533661</v>
      </c>
    </row>
    <row r="46" spans="7:27">
      <c r="G46">
        <f t="shared" si="14"/>
        <v>1.4400000000000004</v>
      </c>
      <c r="I46">
        <f t="shared" si="0"/>
        <v>10.237146910920174</v>
      </c>
      <c r="J46">
        <f t="shared" si="1"/>
        <v>0.99025106052336298</v>
      </c>
      <c r="K46">
        <f t="shared" si="2"/>
        <v>0.50346027545705585</v>
      </c>
      <c r="L46">
        <f t="shared" si="3"/>
        <v>0.50346027545705585</v>
      </c>
      <c r="M46">
        <f t="shared" si="4"/>
        <v>75.123107211825541</v>
      </c>
      <c r="N46">
        <f t="shared" si="5"/>
        <v>32.625550925522212</v>
      </c>
      <c r="P46">
        <f t="shared" si="6"/>
        <v>-3.2649934220494914</v>
      </c>
      <c r="Q46">
        <f t="shared" si="7"/>
        <v>-9.1995095008384524</v>
      </c>
      <c r="R46">
        <f t="shared" si="8"/>
        <v>-7.6144796087099929</v>
      </c>
      <c r="T46">
        <f t="shared" si="9"/>
        <v>-20.078982531597937</v>
      </c>
      <c r="V46" s="7">
        <f t="shared" si="10"/>
        <v>1.9046215079515293E-9</v>
      </c>
      <c r="W46">
        <f t="shared" si="11"/>
        <v>262.49999999999994</v>
      </c>
      <c r="Z46" s="7">
        <f t="shared" si="12"/>
        <v>255.50456629520411</v>
      </c>
      <c r="AA46" s="7">
        <f t="shared" si="13"/>
        <v>48.9360927181935</v>
      </c>
    </row>
    <row r="47" spans="7:27">
      <c r="G47">
        <f t="shared" si="14"/>
        <v>1.4500000000000004</v>
      </c>
      <c r="I47">
        <f t="shared" si="0"/>
        <v>10.684646910920179</v>
      </c>
      <c r="J47">
        <f t="shared" si="1"/>
        <v>0.99154075394847363</v>
      </c>
      <c r="K47">
        <f t="shared" si="2"/>
        <v>0.50777062028464204</v>
      </c>
      <c r="L47">
        <f t="shared" si="3"/>
        <v>0.50777062028464204</v>
      </c>
      <c r="M47">
        <f t="shared" si="4"/>
        <v>76.580579158359612</v>
      </c>
      <c r="N47">
        <f t="shared" si="5"/>
        <v>33.258522949430748</v>
      </c>
      <c r="P47">
        <f t="shared" si="6"/>
        <v>-3.2649934220494914</v>
      </c>
      <c r="Q47">
        <f t="shared" si="7"/>
        <v>-9.6016508921311576</v>
      </c>
      <c r="R47">
        <f t="shared" si="8"/>
        <v>-7.7622089935696703</v>
      </c>
      <c r="T47">
        <f t="shared" si="9"/>
        <v>-20.628853307750319</v>
      </c>
      <c r="V47" s="7">
        <f t="shared" si="10"/>
        <v>1.0990130273755058E-9</v>
      </c>
      <c r="W47">
        <f t="shared" si="11"/>
        <v>260.68965517241372</v>
      </c>
      <c r="Z47" s="7">
        <f t="shared" si="12"/>
        <v>253.00221436708983</v>
      </c>
      <c r="AA47" s="7">
        <f t="shared" si="13"/>
        <v>59.096746135358792</v>
      </c>
    </row>
    <row r="48" spans="7:27">
      <c r="G48">
        <f t="shared" si="14"/>
        <v>1.4600000000000004</v>
      </c>
      <c r="I48">
        <f t="shared" si="0"/>
        <v>11.132146910920184</v>
      </c>
      <c r="J48">
        <f t="shared" si="1"/>
        <v>0.9926610974565433</v>
      </c>
      <c r="K48">
        <f t="shared" si="2"/>
        <v>0.51202191929267227</v>
      </c>
      <c r="L48">
        <f t="shared" si="3"/>
        <v>0.51202191929267227</v>
      </c>
      <c r="M48">
        <f t="shared" si="4"/>
        <v>78.038051104893697</v>
      </c>
      <c r="N48">
        <f t="shared" si="5"/>
        <v>33.891494973339292</v>
      </c>
      <c r="P48">
        <f t="shared" si="6"/>
        <v>-3.2649934220494914</v>
      </c>
      <c r="Q48">
        <f t="shared" si="7"/>
        <v>-10.003792283423863</v>
      </c>
      <c r="R48">
        <f t="shared" si="8"/>
        <v>-7.9099383784293478</v>
      </c>
      <c r="T48">
        <f t="shared" si="9"/>
        <v>-21.178724083902701</v>
      </c>
      <c r="V48" s="7">
        <f t="shared" si="10"/>
        <v>6.3415730070176874E-10</v>
      </c>
      <c r="W48">
        <f t="shared" si="11"/>
        <v>258.90410958904101</v>
      </c>
      <c r="Z48" s="7">
        <f t="shared" si="12"/>
        <v>250.49986243897558</v>
      </c>
      <c r="AA48" s="7">
        <f t="shared" si="13"/>
        <v>70.631370159382911</v>
      </c>
    </row>
    <row r="49" spans="7:27">
      <c r="G49">
        <f t="shared" si="14"/>
        <v>1.4700000000000004</v>
      </c>
      <c r="I49">
        <f t="shared" si="0"/>
        <v>11.579646910920175</v>
      </c>
      <c r="J49">
        <f t="shared" si="1"/>
        <v>0.99363401517646766</v>
      </c>
      <c r="K49">
        <f t="shared" si="2"/>
        <v>0.51621537749787227</v>
      </c>
      <c r="L49">
        <f t="shared" si="3"/>
        <v>0.51621537749787227</v>
      </c>
      <c r="M49">
        <f t="shared" si="4"/>
        <v>79.495523051427753</v>
      </c>
      <c r="N49">
        <f t="shared" si="5"/>
        <v>34.524466997247828</v>
      </c>
      <c r="P49">
        <f t="shared" si="6"/>
        <v>-3.2649934220494914</v>
      </c>
      <c r="Q49">
        <f t="shared" si="7"/>
        <v>-10.405933674716554</v>
      </c>
      <c r="R49">
        <f t="shared" si="8"/>
        <v>-8.0576677632890235</v>
      </c>
      <c r="T49">
        <f t="shared" si="9"/>
        <v>-21.728594860055068</v>
      </c>
      <c r="V49" s="7">
        <f t="shared" si="10"/>
        <v>3.6592421747149374E-10</v>
      </c>
      <c r="W49">
        <f t="shared" si="11"/>
        <v>257.14285714285705</v>
      </c>
      <c r="Z49" s="7">
        <f t="shared" si="12"/>
        <v>247.99751051086139</v>
      </c>
      <c r="AA49" s="7">
        <f t="shared" si="13"/>
        <v>83.637365019354448</v>
      </c>
    </row>
    <row r="50" spans="7:27">
      <c r="G50">
        <f t="shared" si="14"/>
        <v>1.4800000000000004</v>
      </c>
      <c r="I50">
        <f t="shared" si="0"/>
        <v>12.02714691092018</v>
      </c>
      <c r="J50">
        <f t="shared" si="1"/>
        <v>0.99447867067644957</v>
      </c>
      <c r="K50">
        <f t="shared" si="2"/>
        <v>0.52035216734894774</v>
      </c>
      <c r="L50">
        <f t="shared" si="3"/>
        <v>0.52035216734894774</v>
      </c>
      <c r="M50">
        <f t="shared" si="4"/>
        <v>80.95299499796181</v>
      </c>
      <c r="N50">
        <f t="shared" si="5"/>
        <v>35.157439021156357</v>
      </c>
      <c r="P50">
        <f t="shared" si="6"/>
        <v>-3.2649934220494914</v>
      </c>
      <c r="Q50">
        <f t="shared" si="7"/>
        <v>-10.808075066009259</v>
      </c>
      <c r="R50">
        <f t="shared" si="8"/>
        <v>-8.2053971481486982</v>
      </c>
      <c r="T50">
        <f t="shared" si="9"/>
        <v>-22.27846563620745</v>
      </c>
      <c r="V50" s="7">
        <f t="shared" si="10"/>
        <v>2.1114719137341262E-10</v>
      </c>
      <c r="W50">
        <f t="shared" si="11"/>
        <v>255.40540540540533</v>
      </c>
      <c r="Z50" s="7">
        <f t="shared" si="12"/>
        <v>245.49515858274714</v>
      </c>
      <c r="AA50" s="7">
        <f t="shared" si="13"/>
        <v>98.212992086006849</v>
      </c>
    </row>
    <row r="51" spans="7:27">
      <c r="G51">
        <f t="shared" si="14"/>
        <v>1.4900000000000004</v>
      </c>
      <c r="I51">
        <f t="shared" si="0"/>
        <v>12.474646910920185</v>
      </c>
      <c r="J51">
        <f t="shared" si="1"/>
        <v>0.99521179513508218</v>
      </c>
      <c r="K51">
        <f t="shared" si="2"/>
        <v>0.52443342981947194</v>
      </c>
      <c r="L51">
        <f t="shared" si="3"/>
        <v>0.52443342981947194</v>
      </c>
      <c r="M51">
        <f t="shared" si="4"/>
        <v>82.410466944495894</v>
      </c>
      <c r="N51">
        <f t="shared" si="5"/>
        <v>35.7904110450649</v>
      </c>
      <c r="P51">
        <f t="shared" si="6"/>
        <v>-3.2649934220494914</v>
      </c>
      <c r="Q51">
        <f t="shared" si="7"/>
        <v>-11.210216457301964</v>
      </c>
      <c r="R51">
        <f t="shared" si="8"/>
        <v>-8.3531265330083766</v>
      </c>
      <c r="T51">
        <f t="shared" si="9"/>
        <v>-22.828336412359832</v>
      </c>
      <c r="V51" s="7">
        <f t="shared" si="10"/>
        <v>1.2183707526368805E-10</v>
      </c>
      <c r="W51">
        <f t="shared" si="11"/>
        <v>253.69127516778516</v>
      </c>
      <c r="Z51" s="7">
        <f t="shared" si="12"/>
        <v>242.99280665463289</v>
      </c>
      <c r="AA51" s="7">
        <f t="shared" si="13"/>
        <v>114.45722852691071</v>
      </c>
    </row>
    <row r="52" spans="7:27">
      <c r="G52">
        <f t="shared" si="14"/>
        <v>1.5000000000000004</v>
      </c>
      <c r="I52">
        <f t="shared" si="0"/>
        <v>12.922146910920176</v>
      </c>
      <c r="J52">
        <f t="shared" si="1"/>
        <v>0.9958479814363993</v>
      </c>
      <c r="K52">
        <f t="shared" si="2"/>
        <v>0.52846027545705576</v>
      </c>
      <c r="L52">
        <f t="shared" si="3"/>
        <v>0.52846027545705576</v>
      </c>
      <c r="M52">
        <f t="shared" si="4"/>
        <v>83.867938891029922</v>
      </c>
      <c r="N52">
        <f t="shared" si="5"/>
        <v>36.423383068973422</v>
      </c>
      <c r="P52">
        <f t="shared" si="6"/>
        <v>-3.2649934220494914</v>
      </c>
      <c r="Q52">
        <f t="shared" si="7"/>
        <v>-11.612357848594655</v>
      </c>
      <c r="R52">
        <f t="shared" si="8"/>
        <v>-8.5008559178680496</v>
      </c>
      <c r="T52">
        <f t="shared" si="9"/>
        <v>-23.378207188512196</v>
      </c>
      <c r="V52" s="7">
        <f t="shared" si="10"/>
        <v>7.0302961702947005E-11</v>
      </c>
      <c r="W52">
        <f t="shared" si="11"/>
        <v>251.99999999999991</v>
      </c>
      <c r="Z52" s="7">
        <f t="shared" si="12"/>
        <v>240.49045472651869</v>
      </c>
      <c r="AA52" s="7">
        <f t="shared" si="13"/>
        <v>132.46963240231395</v>
      </c>
    </row>
    <row r="53" spans="7:27">
      <c r="G53">
        <f t="shared" si="14"/>
        <v>1.5100000000000005</v>
      </c>
      <c r="I53">
        <f t="shared" si="0"/>
        <v>13.369646910920181</v>
      </c>
      <c r="J53">
        <f t="shared" si="1"/>
        <v>0.99639994641666474</v>
      </c>
      <c r="K53">
        <f t="shared" si="2"/>
        <v>0.53243378539083075</v>
      </c>
      <c r="L53">
        <f t="shared" si="3"/>
        <v>0.53243378539083075</v>
      </c>
      <c r="M53">
        <f t="shared" si="4"/>
        <v>85.325410837564021</v>
      </c>
      <c r="N53">
        <f t="shared" si="5"/>
        <v>37.056355092881972</v>
      </c>
      <c r="P53">
        <f t="shared" si="6"/>
        <v>-3.2649934220494914</v>
      </c>
      <c r="Q53">
        <f t="shared" si="7"/>
        <v>-12.01449923988736</v>
      </c>
      <c r="R53">
        <f t="shared" si="8"/>
        <v>-8.6485853027277297</v>
      </c>
      <c r="T53">
        <f t="shared" si="9"/>
        <v>-23.928077964664581</v>
      </c>
      <c r="V53" s="7">
        <f t="shared" si="10"/>
        <v>4.0566522247099423E-11</v>
      </c>
      <c r="W53">
        <f t="shared" si="11"/>
        <v>250.3311258278145</v>
      </c>
      <c r="Z53" s="7">
        <f t="shared" si="12"/>
        <v>237.98810279840444</v>
      </c>
      <c r="AA53" s="7">
        <f t="shared" si="13"/>
        <v>152.35021750454715</v>
      </c>
    </row>
    <row r="54" spans="7:27">
      <c r="G54">
        <f t="shared" si="14"/>
        <v>1.5200000000000005</v>
      </c>
      <c r="I54">
        <f t="shared" si="0"/>
        <v>13.817146910920187</v>
      </c>
      <c r="J54">
        <f t="shared" si="1"/>
        <v>0.99687876373693529</v>
      </c>
      <c r="K54">
        <f t="shared" si="2"/>
        <v>0.53635501229916116</v>
      </c>
      <c r="L54">
        <f t="shared" si="3"/>
        <v>0.53635501229916116</v>
      </c>
      <c r="M54">
        <f t="shared" si="4"/>
        <v>86.782882784098092</v>
      </c>
      <c r="N54">
        <f t="shared" si="5"/>
        <v>37.689327116790508</v>
      </c>
      <c r="P54">
        <f t="shared" si="6"/>
        <v>-3.2649934220494914</v>
      </c>
      <c r="Q54">
        <f t="shared" si="7"/>
        <v>-12.416640631180066</v>
      </c>
      <c r="R54">
        <f t="shared" si="8"/>
        <v>-8.7963146875874063</v>
      </c>
      <c r="T54">
        <f t="shared" si="9"/>
        <v>-24.477948740816963</v>
      </c>
      <c r="V54" s="7">
        <f t="shared" si="10"/>
        <v>2.340787197810807E-11</v>
      </c>
      <c r="W54">
        <f t="shared" si="11"/>
        <v>248.68421052631572</v>
      </c>
      <c r="Z54" s="7">
        <f t="shared" si="12"/>
        <v>235.48575087029016</v>
      </c>
      <c r="AA54" s="7">
        <f t="shared" si="13"/>
        <v>174.19933729173442</v>
      </c>
    </row>
    <row r="55" spans="7:27">
      <c r="G55">
        <f t="shared" si="14"/>
        <v>1.5300000000000005</v>
      </c>
      <c r="I55">
        <f t="shared" si="0"/>
        <v>14.264646910920177</v>
      </c>
      <c r="J55">
        <f t="shared" si="1"/>
        <v>0.99729406994505021</v>
      </c>
      <c r="K55">
        <f t="shared" si="2"/>
        <v>0.54022498133940888</v>
      </c>
      <c r="L55">
        <f t="shared" si="3"/>
        <v>0.54022498133940888</v>
      </c>
      <c r="M55">
        <f t="shared" si="4"/>
        <v>88.240354730632149</v>
      </c>
      <c r="N55">
        <f t="shared" si="5"/>
        <v>38.322299140699045</v>
      </c>
      <c r="P55">
        <f t="shared" si="6"/>
        <v>-3.2649934220494914</v>
      </c>
      <c r="Q55">
        <f t="shared" si="7"/>
        <v>-12.818782022472758</v>
      </c>
      <c r="R55">
        <f t="shared" si="8"/>
        <v>-8.9440440724470811</v>
      </c>
      <c r="T55">
        <f t="shared" si="9"/>
        <v>-25.02781951696933</v>
      </c>
      <c r="V55" s="7">
        <f t="shared" si="10"/>
        <v>1.3506912601626399E-11</v>
      </c>
      <c r="W55">
        <f t="shared" si="11"/>
        <v>247.05882352941168</v>
      </c>
      <c r="Z55" s="7">
        <f t="shared" si="12"/>
        <v>232.98339894217597</v>
      </c>
      <c r="AA55" s="7">
        <f t="shared" si="13"/>
        <v>198.11757731095972</v>
      </c>
    </row>
    <row r="56" spans="7:27">
      <c r="G56">
        <f t="shared" si="14"/>
        <v>1.5400000000000005</v>
      </c>
      <c r="I56">
        <f t="shared" si="0"/>
        <v>14.712146910920183</v>
      </c>
      <c r="J56">
        <f t="shared" si="1"/>
        <v>0.99765424627148569</v>
      </c>
      <c r="K56">
        <f t="shared" si="2"/>
        <v>0.54404469104147146</v>
      </c>
      <c r="L56">
        <f t="shared" si="3"/>
        <v>0.54404469104147146</v>
      </c>
      <c r="M56">
        <f t="shared" si="4"/>
        <v>89.697826677166219</v>
      </c>
      <c r="N56">
        <f t="shared" si="5"/>
        <v>38.955271164607581</v>
      </c>
      <c r="P56">
        <f t="shared" si="6"/>
        <v>-3.2649934220494914</v>
      </c>
      <c r="Q56">
        <f t="shared" si="7"/>
        <v>-13.220923413765462</v>
      </c>
      <c r="R56">
        <f t="shared" si="8"/>
        <v>-9.0917734573067595</v>
      </c>
      <c r="T56">
        <f t="shared" si="9"/>
        <v>-25.577690293121712</v>
      </c>
      <c r="V56" s="7">
        <f t="shared" si="10"/>
        <v>7.7938177463800701E-12</v>
      </c>
      <c r="W56">
        <f t="shared" si="11"/>
        <v>245.45454545454538</v>
      </c>
      <c r="Z56" s="7">
        <f t="shared" si="12"/>
        <v>230.48104701406172</v>
      </c>
      <c r="AA56" s="7">
        <f t="shared" si="13"/>
        <v>224.2056555471668</v>
      </c>
    </row>
    <row r="57" spans="7:27">
      <c r="G57">
        <f t="shared" si="14"/>
        <v>1.5500000000000005</v>
      </c>
      <c r="I57">
        <f t="shared" si="0"/>
        <v>15.159646910920188</v>
      </c>
      <c r="J57">
        <f t="shared" si="1"/>
        <v>0.99796657861151561</v>
      </c>
      <c r="K57">
        <f t="shared" si="2"/>
        <v>0.54781511416673334</v>
      </c>
      <c r="L57">
        <f t="shared" si="3"/>
        <v>0.54781511416673334</v>
      </c>
      <c r="M57">
        <f t="shared" si="4"/>
        <v>91.155298623700304</v>
      </c>
      <c r="N57">
        <f t="shared" si="5"/>
        <v>39.588243188516124</v>
      </c>
      <c r="P57">
        <f t="shared" si="6"/>
        <v>-3.2649934220494914</v>
      </c>
      <c r="Q57">
        <f t="shared" si="7"/>
        <v>-13.623064805058167</v>
      </c>
      <c r="R57">
        <f t="shared" si="8"/>
        <v>-9.2395028421664378</v>
      </c>
      <c r="T57">
        <f t="shared" si="9"/>
        <v>-26.127561069274098</v>
      </c>
      <c r="V57" s="7">
        <f t="shared" si="10"/>
        <v>4.4972227817979965E-12</v>
      </c>
      <c r="W57">
        <f t="shared" si="11"/>
        <v>243.8709677419354</v>
      </c>
      <c r="Z57" s="7">
        <f t="shared" si="12"/>
        <v>227.97869508594744</v>
      </c>
      <c r="AA57" s="7">
        <f t="shared" si="13"/>
        <v>252.5643301722628</v>
      </c>
    </row>
    <row r="58" spans="7:27">
      <c r="G58">
        <f t="shared" si="14"/>
        <v>1.5600000000000005</v>
      </c>
      <c r="I58">
        <f t="shared" si="0"/>
        <v>15.607146910920179</v>
      </c>
      <c r="J58">
        <f t="shared" si="1"/>
        <v>0.9982373980080913</v>
      </c>
      <c r="K58">
        <f t="shared" si="2"/>
        <v>0.55153719853397898</v>
      </c>
      <c r="L58">
        <f t="shared" si="3"/>
        <v>0.55153719853397898</v>
      </c>
      <c r="M58">
        <f t="shared" si="4"/>
        <v>92.612770570234346</v>
      </c>
      <c r="N58">
        <f t="shared" si="5"/>
        <v>40.221215212424653</v>
      </c>
      <c r="P58">
        <f t="shared" si="6"/>
        <v>-3.2649934220494914</v>
      </c>
      <c r="Q58">
        <f t="shared" si="7"/>
        <v>-14.02520619635086</v>
      </c>
      <c r="R58">
        <f t="shared" si="8"/>
        <v>-9.3872322270261108</v>
      </c>
      <c r="T58">
        <f t="shared" si="9"/>
        <v>-26.677431845426462</v>
      </c>
      <c r="V58" s="7">
        <f t="shared" si="10"/>
        <v>2.5950071463394288E-12</v>
      </c>
      <c r="W58">
        <f t="shared" si="11"/>
        <v>242.30769230769224</v>
      </c>
      <c r="Z58" s="7">
        <f t="shared" si="12"/>
        <v>225.47634315783324</v>
      </c>
      <c r="AA58" s="7">
        <f t="shared" si="13"/>
        <v>283.29431420445906</v>
      </c>
    </row>
    <row r="59" spans="7:27">
      <c r="G59">
        <f t="shared" si="14"/>
        <v>1.5700000000000005</v>
      </c>
      <c r="I59">
        <f t="shared" si="0"/>
        <v>16.054646910920184</v>
      </c>
      <c r="J59">
        <f t="shared" si="1"/>
        <v>0.99847220378531587</v>
      </c>
      <c r="K59">
        <f t="shared" si="2"/>
        <v>0.55521186781374388</v>
      </c>
      <c r="L59">
        <f t="shared" si="3"/>
        <v>0.55521186781374388</v>
      </c>
      <c r="M59">
        <f t="shared" si="4"/>
        <v>94.070242516768431</v>
      </c>
      <c r="N59">
        <f t="shared" si="5"/>
        <v>40.854187236333196</v>
      </c>
      <c r="P59">
        <f t="shared" si="6"/>
        <v>-3.2649934220494914</v>
      </c>
      <c r="Q59">
        <f t="shared" si="7"/>
        <v>-14.427347587643565</v>
      </c>
      <c r="R59">
        <f t="shared" si="8"/>
        <v>-9.5349616118857892</v>
      </c>
      <c r="T59">
        <f t="shared" si="9"/>
        <v>-27.227302621578843</v>
      </c>
      <c r="V59" s="7">
        <f t="shared" si="10"/>
        <v>1.497382366025527E-12</v>
      </c>
      <c r="W59">
        <f t="shared" si="11"/>
        <v>240.76433121019102</v>
      </c>
      <c r="Z59" s="7">
        <f t="shared" si="12"/>
        <v>222.97399122971899</v>
      </c>
      <c r="AA59" s="7">
        <f t="shared" si="13"/>
        <v>316.4961966207814</v>
      </c>
    </row>
    <row r="60" spans="7:27">
      <c r="G60">
        <f t="shared" si="14"/>
        <v>1.5800000000000005</v>
      </c>
      <c r="I60">
        <f t="shared" si="0"/>
        <v>16.502146910920189</v>
      </c>
      <c r="J60">
        <f t="shared" si="1"/>
        <v>0.99867577130531704</v>
      </c>
      <c r="K60">
        <f t="shared" si="2"/>
        <v>0.55884002229249896</v>
      </c>
      <c r="L60">
        <f t="shared" si="3"/>
        <v>0.55884002229249896</v>
      </c>
      <c r="M60">
        <f t="shared" si="4"/>
        <v>95.527714463302502</v>
      </c>
      <c r="N60">
        <f t="shared" si="5"/>
        <v>41.487159260241732</v>
      </c>
      <c r="P60">
        <f t="shared" si="6"/>
        <v>-3.2649934220494914</v>
      </c>
      <c r="Q60">
        <f t="shared" si="7"/>
        <v>-14.829488978936268</v>
      </c>
      <c r="R60">
        <f t="shared" si="8"/>
        <v>-9.6826909967454657</v>
      </c>
      <c r="T60">
        <f t="shared" si="9"/>
        <v>-27.777173397731225</v>
      </c>
      <c r="V60" s="7">
        <f t="shared" si="10"/>
        <v>8.6402611771109547E-13</v>
      </c>
      <c r="W60">
        <f t="shared" si="11"/>
        <v>239.24050632911386</v>
      </c>
      <c r="Z60" s="7">
        <f t="shared" si="12"/>
        <v>220.47163930160474</v>
      </c>
      <c r="AA60" s="7">
        <f t="shared" si="13"/>
        <v>352.27036949631889</v>
      </c>
    </row>
    <row r="61" spans="7:27">
      <c r="G61">
        <f t="shared" si="14"/>
        <v>1.5900000000000005</v>
      </c>
      <c r="I61">
        <f t="shared" si="0"/>
        <v>16.94964691092018</v>
      </c>
      <c r="J61">
        <f t="shared" si="1"/>
        <v>0.9988522461414846</v>
      </c>
      <c r="K61">
        <f t="shared" si="2"/>
        <v>0.56242253960799937</v>
      </c>
      <c r="L61">
        <f t="shared" si="3"/>
        <v>0.56242253960799937</v>
      </c>
      <c r="M61">
        <f t="shared" si="4"/>
        <v>96.985186409836544</v>
      </c>
      <c r="N61">
        <f t="shared" si="5"/>
        <v>42.120131284150261</v>
      </c>
      <c r="P61">
        <f t="shared" si="6"/>
        <v>-3.2649934220494914</v>
      </c>
      <c r="Q61">
        <f t="shared" si="7"/>
        <v>-15.231630370228961</v>
      </c>
      <c r="R61">
        <f t="shared" si="8"/>
        <v>-9.8304203816051405</v>
      </c>
      <c r="T61">
        <f t="shared" si="9"/>
        <v>-28.327044173883593</v>
      </c>
      <c r="V61" s="7">
        <f t="shared" si="10"/>
        <v>4.9856412698945299E-13</v>
      </c>
      <c r="W61">
        <f t="shared" si="11"/>
        <v>237.73584905660368</v>
      </c>
      <c r="Z61" s="7">
        <f t="shared" si="12"/>
        <v>217.96928737349054</v>
      </c>
      <c r="AA61" s="7">
        <f t="shared" si="13"/>
        <v>390.7169607723165</v>
      </c>
    </row>
    <row r="62" spans="7:27">
      <c r="G62">
        <f t="shared" si="14"/>
        <v>1.6000000000000005</v>
      </c>
      <c r="I62">
        <f t="shared" si="0"/>
        <v>17.397146910920185</v>
      </c>
      <c r="J62">
        <f t="shared" si="1"/>
        <v>0.99900522628504984</v>
      </c>
      <c r="K62">
        <f t="shared" si="2"/>
        <v>0.56596027545705585</v>
      </c>
      <c r="L62">
        <f t="shared" si="3"/>
        <v>0.56596027545705585</v>
      </c>
      <c r="M62">
        <f t="shared" si="4"/>
        <v>98.442658356370615</v>
      </c>
      <c r="N62">
        <f t="shared" si="5"/>
        <v>42.753103308058797</v>
      </c>
      <c r="P62">
        <f t="shared" si="6"/>
        <v>-3.2649934220494914</v>
      </c>
      <c r="Q62">
        <f t="shared" si="7"/>
        <v>-15.633771761521666</v>
      </c>
      <c r="R62">
        <f t="shared" si="8"/>
        <v>-9.9781497664648171</v>
      </c>
      <c r="T62">
        <f t="shared" si="9"/>
        <v>-28.876914950035975</v>
      </c>
      <c r="V62" s="7">
        <f t="shared" si="10"/>
        <v>2.8768365171556651E-13</v>
      </c>
      <c r="W62">
        <f t="shared" si="11"/>
        <v>236.24999999999991</v>
      </c>
      <c r="Z62" s="7">
        <f t="shared" si="12"/>
        <v>215.46693544537629</v>
      </c>
      <c r="AA62" s="7">
        <f t="shared" si="13"/>
        <v>431.93577228165276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B16F-B2D4-4920-BEAE-C6F1B3ACAC07}">
  <dimension ref="A1:AA62"/>
  <sheetViews>
    <sheetView zoomScale="90" zoomScaleNormal="90" workbookViewId="0">
      <selection activeCell="Y10" sqref="Y10"/>
    </sheetView>
  </sheetViews>
  <sheetFormatPr defaultRowHeight="15"/>
  <cols>
    <col min="1" max="1" width="16.140625" customWidth="1"/>
    <col min="3" max="3" width="14" customWidth="1"/>
    <col min="4" max="4" width="11.140625" customWidth="1"/>
    <col min="5" max="5" width="13.28515625" customWidth="1"/>
    <col min="9" max="9" width="12.7109375" customWidth="1"/>
    <col min="13" max="13" width="13" customWidth="1"/>
    <col min="14" max="14" width="14" customWidth="1"/>
    <col min="16" max="16" width="15.28515625" customWidth="1"/>
    <col min="17" max="17" width="14.28515625" customWidth="1"/>
    <col min="25" max="25" width="18.5703125" customWidth="1"/>
  </cols>
  <sheetData>
    <row r="1" spans="1:27" ht="30">
      <c r="A1" s="4" t="s">
        <v>8</v>
      </c>
      <c r="C1" s="2" t="s">
        <v>12</v>
      </c>
      <c r="D1" s="2"/>
      <c r="E1" s="2" t="s">
        <v>20</v>
      </c>
      <c r="G1" t="s">
        <v>19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P1" t="s">
        <v>18</v>
      </c>
      <c r="Q1" t="s">
        <v>36</v>
      </c>
      <c r="R1" t="s">
        <v>37</v>
      </c>
      <c r="T1" t="s">
        <v>38</v>
      </c>
      <c r="V1" t="s">
        <v>2</v>
      </c>
      <c r="W1" t="s">
        <v>3</v>
      </c>
      <c r="Y1" s="2" t="s">
        <v>45</v>
      </c>
      <c r="Z1" t="s">
        <v>39</v>
      </c>
      <c r="AA1" t="s">
        <v>43</v>
      </c>
    </row>
    <row r="2" spans="1:27">
      <c r="A2" s="5"/>
      <c r="C2" s="2"/>
      <c r="E2" s="7">
        <f>POWER(10,6.42)</f>
        <v>2630267.9918953842</v>
      </c>
      <c r="G2">
        <f>1</f>
        <v>1</v>
      </c>
      <c r="I2">
        <f>LN(10)*$C$19 + $A$7*$C$22*G2</f>
        <v>-9.4307351266133495</v>
      </c>
      <c r="J2">
        <f>1/(1 + EXP($A$4*(1 - $C$22*G2)))</f>
        <v>0.15803495558314457</v>
      </c>
      <c r="K2">
        <f>$E$14 + $C$10*(1/$E$11 - 1/G2)</f>
        <v>0.22888487561031015</v>
      </c>
      <c r="L2">
        <f>MIN(J2,K2)</f>
        <v>0.15803495558314457</v>
      </c>
      <c r="M2">
        <f>I2 + $A$10*$C$22*G2*L2</f>
        <v>4.7203842205100521</v>
      </c>
      <c r="N2">
        <f>M2/LN(10)</f>
        <v>2.0500368194306979</v>
      </c>
      <c r="P2">
        <f>LN(2*$C$16/PI())</f>
        <v>-3.2649934220494914</v>
      </c>
      <c r="Q2">
        <f>-0.5*$A$13*$C$13*I2</f>
        <v>4.5369412294185834</v>
      </c>
      <c r="R2">
        <f>-(1 - 0.5*$A$13*$C$13)*M2</f>
        <v>-2.4495001906645819</v>
      </c>
      <c r="T2">
        <f>P2 + Q2 + R2</f>
        <v>-1.1775523832954899</v>
      </c>
      <c r="V2" s="7">
        <f>EXP(T2)</f>
        <v>0.3080317603530463</v>
      </c>
      <c r="W2">
        <f>$C$7/G2</f>
        <v>373</v>
      </c>
      <c r="Z2" s="7">
        <f>$Y$4*LN(V2) + $Y$7</f>
        <v>380.16036057281474</v>
      </c>
      <c r="AA2" s="7">
        <f>(Z2 - W2)^2</f>
        <v>51.270763532719812</v>
      </c>
    </row>
    <row r="3" spans="1:27">
      <c r="A3" s="6" t="s">
        <v>9</v>
      </c>
      <c r="C3" t="s">
        <v>22</v>
      </c>
      <c r="G3">
        <f>G2+0.01</f>
        <v>1.01</v>
      </c>
      <c r="I3">
        <f t="shared" ref="I3:I62" si="0">LN(10)*$C$19 + $A$7*$C$22*G3</f>
        <v>-8.9830139469886845</v>
      </c>
      <c r="J3">
        <f t="shared" ref="J3:J62" si="1">1/(1 + EXP($A$4*(1 - $C$22*G3)))</f>
        <v>0.17804468494453865</v>
      </c>
      <c r="K3">
        <f t="shared" ref="K3:K62" si="2">$E$14 + $C$10*(1/$E$11 - 1/G3)</f>
        <v>0.23779576669941907</v>
      </c>
      <c r="L3">
        <f t="shared" ref="L3:L62" si="3">MIN(J3,K3)</f>
        <v>0.17804468494453865</v>
      </c>
      <c r="M3">
        <f t="shared" ref="M3:M62" si="4">I3 + $A$10*$C$22*G3*L3</f>
        <v>7.1192900796039886</v>
      </c>
      <c r="N3">
        <f t="shared" ref="N3:N62" si="5">M3/LN(10)</f>
        <v>3.0918683966405744</v>
      </c>
      <c r="P3">
        <f t="shared" ref="P3:P62" si="6">LN(2*$C$16/PI())</f>
        <v>-3.2649934220494914</v>
      </c>
      <c r="Q3">
        <f t="shared" ref="Q3:Q62" si="7">-0.5*$A$13*$C$13*I3</f>
        <v>4.3215513736065141</v>
      </c>
      <c r="R3">
        <f t="shared" ref="R3:R62" si="8">-(1 - 0.5*$A$13*$C$13)*M3</f>
        <v>-3.6943396115119906</v>
      </c>
      <c r="T3">
        <f t="shared" ref="T3:T62" si="9">P3 + Q3 + R3</f>
        <v>-2.6377816599549679</v>
      </c>
      <c r="V3" s="7">
        <f t="shared" ref="V3:V62" si="10">EXP(T3)</f>
        <v>7.1519748833780858E-2</v>
      </c>
      <c r="W3">
        <f t="shared" ref="W3:W62" si="11">$C$7/G3</f>
        <v>369.30693069306932</v>
      </c>
      <c r="Y3" t="s">
        <v>41</v>
      </c>
      <c r="Z3" s="7">
        <f t="shared" ref="Z3:Z62" si="12">$Y$4*LN(V3) + $Y$7</f>
        <v>375.0889842949764</v>
      </c>
      <c r="AA3" s="7">
        <f t="shared" ref="AA3:AA62" si="13">(Z3 - W3)^2</f>
        <v>33.432143855326636</v>
      </c>
    </row>
    <row r="4" spans="1:27">
      <c r="A4" s="5">
        <v>16</v>
      </c>
      <c r="C4" s="8" t="s">
        <v>5</v>
      </c>
      <c r="E4" t="s">
        <v>24</v>
      </c>
      <c r="G4">
        <f t="shared" ref="G4:G62" si="14">G3+0.01</f>
        <v>1.02</v>
      </c>
      <c r="I4">
        <f t="shared" si="0"/>
        <v>-8.5352927673640195</v>
      </c>
      <c r="J4">
        <f t="shared" si="1"/>
        <v>0.19998618660881876</v>
      </c>
      <c r="K4">
        <f t="shared" si="2"/>
        <v>0.24653193443383961</v>
      </c>
      <c r="L4">
        <f t="shared" si="3"/>
        <v>0.19998618660881876</v>
      </c>
      <c r="M4">
        <f t="shared" si="4"/>
        <v>9.7304697135722726</v>
      </c>
      <c r="N4">
        <f t="shared" si="5"/>
        <v>4.2258893029311526</v>
      </c>
      <c r="P4">
        <f t="shared" si="6"/>
        <v>-3.2649934220494914</v>
      </c>
      <c r="Q4">
        <f t="shared" si="7"/>
        <v>4.1061615177944448</v>
      </c>
      <c r="R4">
        <f t="shared" si="8"/>
        <v>-5.0493320681585958</v>
      </c>
      <c r="T4">
        <f t="shared" si="9"/>
        <v>-4.2081639724136419</v>
      </c>
      <c r="V4" s="7">
        <f t="shared" si="10"/>
        <v>1.4873651718768232E-2</v>
      </c>
      <c r="W4">
        <f t="shared" si="11"/>
        <v>365.68627450980392</v>
      </c>
      <c r="Y4">
        <v>3.4729999999999999</v>
      </c>
      <c r="Z4" s="7">
        <f t="shared" si="12"/>
        <v>369.63504652380743</v>
      </c>
      <c r="AA4" s="7">
        <f t="shared" si="13"/>
        <v>15.592800418577331</v>
      </c>
    </row>
    <row r="5" spans="1:27">
      <c r="A5" s="5"/>
      <c r="E5">
        <f>LN(E2/POWER(10,C19))</f>
        <v>68.985449386101607</v>
      </c>
      <c r="G5">
        <f t="shared" si="14"/>
        <v>1.03</v>
      </c>
      <c r="I5">
        <f t="shared" si="0"/>
        <v>-8.0875715877393546</v>
      </c>
      <c r="J5">
        <f t="shared" si="1"/>
        <v>0.22389512316184698</v>
      </c>
      <c r="K5">
        <f t="shared" si="2"/>
        <v>0.25509846784331985</v>
      </c>
      <c r="L5">
        <f t="shared" si="3"/>
        <v>0.22389512316184698</v>
      </c>
      <c r="M5">
        <f t="shared" si="4"/>
        <v>12.562401675032387</v>
      </c>
      <c r="N5">
        <f t="shared" si="5"/>
        <v>5.4557817269187332</v>
      </c>
      <c r="P5">
        <f t="shared" si="6"/>
        <v>-3.2649934220494914</v>
      </c>
      <c r="Q5">
        <f t="shared" si="7"/>
        <v>3.8907716619823756</v>
      </c>
      <c r="R5">
        <f t="shared" si="8"/>
        <v>-6.5188772482744906</v>
      </c>
      <c r="T5">
        <f t="shared" si="9"/>
        <v>-5.8930990083416059</v>
      </c>
      <c r="V5" s="7">
        <f t="shared" si="10"/>
        <v>2.7584150861537011E-3</v>
      </c>
      <c r="W5">
        <f t="shared" si="11"/>
        <v>362.13592233009706</v>
      </c>
      <c r="Z5" s="7">
        <f t="shared" si="12"/>
        <v>363.78326714402959</v>
      </c>
      <c r="AA5" s="7">
        <f t="shared" si="13"/>
        <v>2.7137449359904156</v>
      </c>
    </row>
    <row r="6" spans="1:27">
      <c r="A6" s="5" t="s">
        <v>10</v>
      </c>
      <c r="C6" t="s">
        <v>13</v>
      </c>
      <c r="G6">
        <f t="shared" si="14"/>
        <v>1.04</v>
      </c>
      <c r="I6">
        <f t="shared" si="0"/>
        <v>-7.6398504081146896</v>
      </c>
      <c r="J6">
        <f t="shared" si="1"/>
        <v>0.24977003554519372</v>
      </c>
      <c r="K6">
        <f t="shared" si="2"/>
        <v>0.26350026022569484</v>
      </c>
      <c r="L6">
        <f t="shared" si="3"/>
        <v>0.24977003554519372</v>
      </c>
      <c r="M6">
        <f t="shared" si="4"/>
        <v>15.620235261316541</v>
      </c>
      <c r="N6">
        <f t="shared" si="5"/>
        <v>6.7837819800203718</v>
      </c>
      <c r="P6">
        <f t="shared" si="6"/>
        <v>-3.2649934220494914</v>
      </c>
      <c r="Q6">
        <f t="shared" si="7"/>
        <v>3.6753818061703063</v>
      </c>
      <c r="R6">
        <f t="shared" si="8"/>
        <v>-8.1056472234978756</v>
      </c>
      <c r="T6">
        <f t="shared" si="9"/>
        <v>-7.6952588393770611</v>
      </c>
      <c r="V6" s="7">
        <f t="shared" si="10"/>
        <v>4.5497920680963126E-4</v>
      </c>
      <c r="W6">
        <f t="shared" si="11"/>
        <v>358.65384615384613</v>
      </c>
      <c r="Y6" t="s">
        <v>42</v>
      </c>
      <c r="Z6" s="7">
        <f t="shared" si="12"/>
        <v>357.52436605084347</v>
      </c>
      <c r="AA6" s="7">
        <f t="shared" si="13"/>
        <v>1.2757253030789069</v>
      </c>
    </row>
    <row r="7" spans="1:27">
      <c r="A7" s="5">
        <v>50</v>
      </c>
      <c r="C7">
        <v>373</v>
      </c>
      <c r="E7" t="s">
        <v>27</v>
      </c>
      <c r="G7">
        <f t="shared" si="14"/>
        <v>1.05</v>
      </c>
      <c r="I7">
        <f t="shared" si="0"/>
        <v>-7.1921292284900247</v>
      </c>
      <c r="J7">
        <f t="shared" si="1"/>
        <v>0.27756579125074238</v>
      </c>
      <c r="K7">
        <f t="shared" si="2"/>
        <v>0.27174201846745305</v>
      </c>
      <c r="L7">
        <f t="shared" si="3"/>
        <v>0.27174201846745305</v>
      </c>
      <c r="M7">
        <f t="shared" si="4"/>
        <v>18.35744875449544</v>
      </c>
      <c r="N7">
        <f t="shared" si="5"/>
        <v>7.9725386958990923</v>
      </c>
      <c r="P7">
        <f t="shared" si="6"/>
        <v>-3.2649934220494914</v>
      </c>
      <c r="Q7">
        <f t="shared" si="7"/>
        <v>3.459991950358237</v>
      </c>
      <c r="R7">
        <f t="shared" si="8"/>
        <v>-9.526041127938754</v>
      </c>
      <c r="T7">
        <f t="shared" si="9"/>
        <v>-9.3310425996300079</v>
      </c>
      <c r="V7" s="7">
        <f t="shared" si="10"/>
        <v>8.8629783528930696E-5</v>
      </c>
      <c r="W7">
        <f t="shared" si="11"/>
        <v>355.23809523809524</v>
      </c>
      <c r="Y7">
        <v>384.25</v>
      </c>
      <c r="Z7" s="7">
        <f t="shared" si="12"/>
        <v>351.84328905148499</v>
      </c>
      <c r="AA7" s="7">
        <f t="shared" si="13"/>
        <v>11.524709044647251</v>
      </c>
    </row>
    <row r="8" spans="1:27">
      <c r="A8" s="5"/>
      <c r="E8">
        <f>-3.1102 + 1.661*LN(E5) -0.1665*POWER(LN(E5),2)</f>
        <v>0.93764291262063626</v>
      </c>
      <c r="G8">
        <f t="shared" si="14"/>
        <v>1.06</v>
      </c>
      <c r="I8">
        <f t="shared" si="0"/>
        <v>-6.7444080488653597</v>
      </c>
      <c r="J8">
        <f t="shared" si="1"/>
        <v>0.30718824537972672</v>
      </c>
      <c r="K8">
        <f t="shared" si="2"/>
        <v>0.27982827183672532</v>
      </c>
      <c r="L8">
        <f t="shared" si="3"/>
        <v>0.27982827183672532</v>
      </c>
      <c r="M8">
        <f t="shared" si="4"/>
        <v>19.81602127045749</v>
      </c>
      <c r="N8">
        <f t="shared" si="5"/>
        <v>8.6059886910371528</v>
      </c>
      <c r="P8">
        <f t="shared" si="6"/>
        <v>-3.2649934220494914</v>
      </c>
      <c r="Q8">
        <f t="shared" si="7"/>
        <v>3.2446020945461678</v>
      </c>
      <c r="R8">
        <f t="shared" si="8"/>
        <v>-10.282923086916472</v>
      </c>
      <c r="T8">
        <f t="shared" si="9"/>
        <v>-10.303314414419797</v>
      </c>
      <c r="V8" s="7">
        <f t="shared" si="10"/>
        <v>3.3521805701667825E-5</v>
      </c>
      <c r="W8">
        <f t="shared" si="11"/>
        <v>351.88679245283015</v>
      </c>
      <c r="Z8" s="7">
        <f t="shared" si="12"/>
        <v>348.46658903872003</v>
      </c>
      <c r="AA8" s="7">
        <f t="shared" si="13"/>
        <v>11.697791393890517</v>
      </c>
    </row>
    <row r="9" spans="1:27">
      <c r="A9" s="5" t="s">
        <v>11</v>
      </c>
      <c r="C9" t="s">
        <v>14</v>
      </c>
      <c r="G9">
        <f t="shared" si="14"/>
        <v>1.07</v>
      </c>
      <c r="I9">
        <f t="shared" si="0"/>
        <v>-6.2966868692406948</v>
      </c>
      <c r="J9">
        <f t="shared" si="1"/>
        <v>0.33849083769356175</v>
      </c>
      <c r="K9">
        <f t="shared" si="2"/>
        <v>0.28776338028320736</v>
      </c>
      <c r="L9">
        <f t="shared" si="3"/>
        <v>0.28776338028320736</v>
      </c>
      <c r="M9">
        <f t="shared" si="4"/>
        <v>21.274593786419533</v>
      </c>
      <c r="N9">
        <f t="shared" si="5"/>
        <v>9.2394386861752107</v>
      </c>
      <c r="P9">
        <f t="shared" si="6"/>
        <v>-3.2649934220494914</v>
      </c>
      <c r="Q9">
        <f t="shared" si="7"/>
        <v>3.0292122387340985</v>
      </c>
      <c r="R9">
        <f t="shared" si="8"/>
        <v>-11.039805045894187</v>
      </c>
      <c r="T9">
        <f t="shared" si="9"/>
        <v>-11.27558622920958</v>
      </c>
      <c r="V9" s="7">
        <f t="shared" si="10"/>
        <v>1.2678711520643298E-5</v>
      </c>
      <c r="W9">
        <f t="shared" si="11"/>
        <v>348.59813084112147</v>
      </c>
      <c r="Y9" t="s">
        <v>44</v>
      </c>
      <c r="Z9" s="7">
        <f t="shared" si="12"/>
        <v>345.08988902595513</v>
      </c>
      <c r="AA9" s="7">
        <f t="shared" si="13"/>
        <v>12.307760633681639</v>
      </c>
    </row>
    <row r="10" spans="1:27">
      <c r="A10" s="5">
        <v>100</v>
      </c>
      <c r="C10">
        <v>0.9</v>
      </c>
      <c r="E10" t="s">
        <v>28</v>
      </c>
      <c r="G10">
        <f t="shared" si="14"/>
        <v>1.08</v>
      </c>
      <c r="I10">
        <f t="shared" si="0"/>
        <v>-5.8489656896160298</v>
      </c>
      <c r="J10">
        <f t="shared" si="1"/>
        <v>0.37127380929913906</v>
      </c>
      <c r="K10">
        <f t="shared" si="2"/>
        <v>0.29555154227697694</v>
      </c>
      <c r="L10">
        <f t="shared" si="3"/>
        <v>0.29555154227697694</v>
      </c>
      <c r="M10">
        <f t="shared" si="4"/>
        <v>22.733166302381591</v>
      </c>
      <c r="N10">
        <f t="shared" si="5"/>
        <v>9.8728886813132757</v>
      </c>
      <c r="P10">
        <f t="shared" si="6"/>
        <v>-3.2649934220494914</v>
      </c>
      <c r="Q10">
        <f t="shared" si="7"/>
        <v>2.8138223829220292</v>
      </c>
      <c r="R10">
        <f t="shared" si="8"/>
        <v>-11.796687004871909</v>
      </c>
      <c r="T10">
        <f t="shared" si="9"/>
        <v>-12.247858043999372</v>
      </c>
      <c r="V10" s="7">
        <f t="shared" si="10"/>
        <v>4.7953778878831053E-6</v>
      </c>
      <c r="W10">
        <f t="shared" si="11"/>
        <v>345.37037037037032</v>
      </c>
      <c r="Y10" s="7">
        <f>AVERAGE(AA2:AA9)</f>
        <v>17.476929889739061</v>
      </c>
      <c r="Z10" s="7">
        <f t="shared" si="12"/>
        <v>341.71318901319017</v>
      </c>
      <c r="AA10" s="7">
        <f t="shared" si="13"/>
        <v>13.374975479306043</v>
      </c>
    </row>
    <row r="11" spans="1:27">
      <c r="A11" s="5"/>
      <c r="E11">
        <f>E8/C22</f>
        <v>1.0471281628966986</v>
      </c>
      <c r="G11">
        <f t="shared" si="14"/>
        <v>1.0900000000000001</v>
      </c>
      <c r="I11">
        <f t="shared" si="0"/>
        <v>-5.4012445099913649</v>
      </c>
      <c r="J11">
        <f t="shared" si="1"/>
        <v>0.40528657179426181</v>
      </c>
      <c r="K11">
        <f t="shared" si="2"/>
        <v>0.3031968022158148</v>
      </c>
      <c r="L11">
        <f t="shared" si="3"/>
        <v>0.3031968022158148</v>
      </c>
      <c r="M11">
        <f t="shared" si="4"/>
        <v>24.191738818343634</v>
      </c>
      <c r="N11">
        <f t="shared" si="5"/>
        <v>10.506338676451334</v>
      </c>
      <c r="P11">
        <f t="shared" si="6"/>
        <v>-3.2649934220494914</v>
      </c>
      <c r="Q11">
        <f t="shared" si="7"/>
        <v>2.5984325271099604</v>
      </c>
      <c r="R11">
        <f t="shared" si="8"/>
        <v>-12.553568963849626</v>
      </c>
      <c r="T11">
        <f t="shared" si="9"/>
        <v>-13.220129858789157</v>
      </c>
      <c r="V11" s="7">
        <f t="shared" si="10"/>
        <v>1.8137212957450137E-6</v>
      </c>
      <c r="W11">
        <f t="shared" si="11"/>
        <v>342.20183486238528</v>
      </c>
      <c r="Z11" s="7">
        <f t="shared" si="12"/>
        <v>338.33648900042527</v>
      </c>
      <c r="AA11" s="7">
        <f t="shared" si="13"/>
        <v>14.940898632571363</v>
      </c>
    </row>
    <row r="12" spans="1:27">
      <c r="A12" s="5" t="s">
        <v>17</v>
      </c>
      <c r="C12" t="s">
        <v>15</v>
      </c>
      <c r="D12" s="3"/>
      <c r="E12" s="3"/>
      <c r="G12">
        <f t="shared" si="14"/>
        <v>1.1000000000000001</v>
      </c>
      <c r="I12">
        <f t="shared" si="0"/>
        <v>-4.9535233303666999</v>
      </c>
      <c r="J12">
        <f t="shared" si="1"/>
        <v>0.44023349687263624</v>
      </c>
      <c r="K12">
        <f t="shared" si="2"/>
        <v>0.31070305742849202</v>
      </c>
      <c r="L12">
        <f t="shared" si="3"/>
        <v>0.31070305742849202</v>
      </c>
      <c r="M12">
        <f t="shared" si="4"/>
        <v>25.65031133430568</v>
      </c>
      <c r="N12">
        <f t="shared" si="5"/>
        <v>11.139788671589393</v>
      </c>
      <c r="P12">
        <f t="shared" si="6"/>
        <v>-3.2649934220494914</v>
      </c>
      <c r="Q12">
        <f t="shared" si="7"/>
        <v>2.3830426712978912</v>
      </c>
      <c r="R12">
        <f t="shared" si="8"/>
        <v>-13.310450922827343</v>
      </c>
      <c r="T12">
        <f t="shared" si="9"/>
        <v>-14.192401673578942</v>
      </c>
      <c r="V12" s="7">
        <f t="shared" si="10"/>
        <v>6.8599076351230822E-7</v>
      </c>
      <c r="W12">
        <f t="shared" si="11"/>
        <v>339.09090909090907</v>
      </c>
      <c r="Z12" s="7">
        <f t="shared" si="12"/>
        <v>334.95978898766032</v>
      </c>
      <c r="AA12" s="7">
        <f t="shared" si="13"/>
        <v>17.066153307465942</v>
      </c>
    </row>
    <row r="13" spans="1:27">
      <c r="A13" s="5">
        <v>1.96</v>
      </c>
      <c r="C13" s="9">
        <v>0.49089830268790058</v>
      </c>
      <c r="E13" t="s">
        <v>29</v>
      </c>
      <c r="G13">
        <f t="shared" si="14"/>
        <v>1.1100000000000001</v>
      </c>
      <c r="I13">
        <f t="shared" si="0"/>
        <v>-4.5058021507420278</v>
      </c>
      <c r="J13">
        <f t="shared" si="1"/>
        <v>0.47578303817750883</v>
      </c>
      <c r="K13">
        <f t="shared" si="2"/>
        <v>0.31807406479949946</v>
      </c>
      <c r="L13">
        <f t="shared" si="3"/>
        <v>0.31807406479949946</v>
      </c>
      <c r="M13">
        <f t="shared" si="4"/>
        <v>27.108883850267745</v>
      </c>
      <c r="N13">
        <f t="shared" si="5"/>
        <v>11.77323866672746</v>
      </c>
      <c r="P13">
        <f t="shared" si="6"/>
        <v>-3.2649934220494914</v>
      </c>
      <c r="Q13">
        <f t="shared" si="7"/>
        <v>2.1676528154858183</v>
      </c>
      <c r="R13">
        <f t="shared" si="8"/>
        <v>-14.067332881805068</v>
      </c>
      <c r="T13">
        <f t="shared" si="9"/>
        <v>-15.164673488368742</v>
      </c>
      <c r="V13" s="7">
        <f t="shared" si="10"/>
        <v>2.5945735363430999E-7</v>
      </c>
      <c r="W13">
        <f t="shared" si="11"/>
        <v>336.03603603603602</v>
      </c>
      <c r="Z13" s="7">
        <f t="shared" si="12"/>
        <v>331.58308897489536</v>
      </c>
      <c r="AA13" s="7">
        <f t="shared" si="13"/>
        <v>19.828737529321263</v>
      </c>
    </row>
    <row r="14" spans="1:27">
      <c r="E14">
        <f>1/(1 + EXP($A$4*(1-E8)))</f>
        <v>0.26939123205257604</v>
      </c>
      <c r="G14">
        <f t="shared" si="14"/>
        <v>1.1200000000000001</v>
      </c>
      <c r="I14">
        <f t="shared" si="0"/>
        <v>-4.0580809711173629</v>
      </c>
      <c r="J14">
        <f t="shared" si="1"/>
        <v>0.51157969848380302</v>
      </c>
      <c r="K14">
        <f t="shared" si="2"/>
        <v>0.32531344703888165</v>
      </c>
      <c r="L14">
        <f t="shared" si="3"/>
        <v>0.32531344703888165</v>
      </c>
      <c r="M14">
        <f t="shared" si="4"/>
        <v>28.567456366229784</v>
      </c>
      <c r="N14">
        <f t="shared" si="5"/>
        <v>12.406688661865516</v>
      </c>
      <c r="P14">
        <f t="shared" si="6"/>
        <v>-3.2649934220494914</v>
      </c>
      <c r="Q14">
        <f t="shared" si="7"/>
        <v>1.9522629596737491</v>
      </c>
      <c r="R14">
        <f t="shared" si="8"/>
        <v>-14.824214840782782</v>
      </c>
      <c r="T14">
        <f t="shared" si="9"/>
        <v>-16.136945303158523</v>
      </c>
      <c r="V14" s="7">
        <f t="shared" si="10"/>
        <v>9.8132689149119627E-8</v>
      </c>
      <c r="W14">
        <f t="shared" si="11"/>
        <v>333.03571428571428</v>
      </c>
      <c r="Z14" s="7">
        <f t="shared" si="12"/>
        <v>328.20638896213046</v>
      </c>
      <c r="AA14" s="7">
        <f t="shared" si="13"/>
        <v>23.322383081007935</v>
      </c>
    </row>
    <row r="15" spans="1:27">
      <c r="C15" s="3" t="s">
        <v>16</v>
      </c>
      <c r="G15">
        <f t="shared" si="14"/>
        <v>1.1300000000000001</v>
      </c>
      <c r="I15">
        <f t="shared" si="0"/>
        <v>-3.6103597914926979</v>
      </c>
      <c r="J15">
        <f t="shared" si="1"/>
        <v>0.54725798196164332</v>
      </c>
      <c r="K15">
        <f t="shared" si="2"/>
        <v>0.3324246986191598</v>
      </c>
      <c r="L15">
        <f t="shared" si="3"/>
        <v>0.3324246986191598</v>
      </c>
      <c r="M15">
        <f t="shared" si="4"/>
        <v>30.026028882191838</v>
      </c>
      <c r="N15">
        <f t="shared" si="5"/>
        <v>13.040138657003579</v>
      </c>
      <c r="P15">
        <f t="shared" si="6"/>
        <v>-3.2649934220494914</v>
      </c>
      <c r="Q15">
        <f t="shared" si="7"/>
        <v>1.7368731038616798</v>
      </c>
      <c r="R15">
        <f t="shared" si="8"/>
        <v>-15.581096799760502</v>
      </c>
      <c r="T15">
        <f t="shared" si="9"/>
        <v>-17.109217117948312</v>
      </c>
      <c r="V15" s="7">
        <f t="shared" si="10"/>
        <v>3.7116021360530141E-8</v>
      </c>
      <c r="W15">
        <f t="shared" si="11"/>
        <v>330.0884955752212</v>
      </c>
      <c r="Z15" s="7">
        <f t="shared" si="12"/>
        <v>324.8296889493655</v>
      </c>
      <c r="AA15" s="7">
        <f t="shared" si="13"/>
        <v>27.655047128143789</v>
      </c>
    </row>
    <row r="16" spans="1:27">
      <c r="C16">
        <v>0.06</v>
      </c>
      <c r="G16">
        <f t="shared" si="14"/>
        <v>1.1400000000000001</v>
      </c>
      <c r="I16">
        <f t="shared" si="0"/>
        <v>-3.162638611868033</v>
      </c>
      <c r="J16">
        <f t="shared" si="1"/>
        <v>0.58245719522571648</v>
      </c>
      <c r="K16">
        <f t="shared" si="2"/>
        <v>0.33941119139978387</v>
      </c>
      <c r="L16">
        <f t="shared" si="3"/>
        <v>0.33941119139978387</v>
      </c>
      <c r="M16">
        <f t="shared" si="4"/>
        <v>31.484601398153877</v>
      </c>
      <c r="N16">
        <f t="shared" si="5"/>
        <v>13.673588652141635</v>
      </c>
      <c r="P16">
        <f t="shared" si="6"/>
        <v>-3.2649934220494914</v>
      </c>
      <c r="Q16">
        <f t="shared" si="7"/>
        <v>1.5214832480496108</v>
      </c>
      <c r="R16">
        <f t="shared" si="8"/>
        <v>-16.337978758738217</v>
      </c>
      <c r="T16">
        <f t="shared" si="9"/>
        <v>-18.081488932738097</v>
      </c>
      <c r="V16" s="7">
        <f t="shared" si="10"/>
        <v>1.4038125863869629E-8</v>
      </c>
      <c r="W16">
        <f t="shared" si="11"/>
        <v>327.19298245614033</v>
      </c>
      <c r="Z16" s="7">
        <f t="shared" si="12"/>
        <v>321.4529889366006</v>
      </c>
      <c r="AA16" s="7">
        <f t="shared" si="13"/>
        <v>32.94752560435802</v>
      </c>
    </row>
    <row r="17" spans="3:27">
      <c r="G17">
        <f t="shared" si="14"/>
        <v>1.1500000000000001</v>
      </c>
      <c r="I17">
        <f t="shared" si="0"/>
        <v>-2.714917432243368</v>
      </c>
      <c r="J17">
        <f t="shared" si="1"/>
        <v>0.61683583924610053</v>
      </c>
      <c r="K17">
        <f t="shared" si="2"/>
        <v>0.34627617995813637</v>
      </c>
      <c r="L17">
        <f t="shared" si="3"/>
        <v>0.34627617995813637</v>
      </c>
      <c r="M17">
        <f t="shared" si="4"/>
        <v>32.943173914115938</v>
      </c>
      <c r="N17">
        <f t="shared" si="5"/>
        <v>14.3070386472797</v>
      </c>
      <c r="P17">
        <f t="shared" si="6"/>
        <v>-3.2649934220494914</v>
      </c>
      <c r="Q17">
        <f t="shared" si="7"/>
        <v>1.3060933922375415</v>
      </c>
      <c r="R17">
        <f t="shared" si="8"/>
        <v>-17.094860717715939</v>
      </c>
      <c r="T17">
        <f t="shared" si="9"/>
        <v>-19.053760747527889</v>
      </c>
      <c r="V17" s="7">
        <f t="shared" si="10"/>
        <v>5.3095393995922956E-9</v>
      </c>
      <c r="W17">
        <f t="shared" si="11"/>
        <v>324.3478260869565</v>
      </c>
      <c r="Z17" s="7">
        <f t="shared" si="12"/>
        <v>318.07628892383565</v>
      </c>
      <c r="AA17" s="7">
        <f t="shared" si="13"/>
        <v>39.332178388405971</v>
      </c>
    </row>
    <row r="18" spans="3:27">
      <c r="C18" t="s">
        <v>23</v>
      </c>
      <c r="G18">
        <f t="shared" si="14"/>
        <v>1.1600000000000001</v>
      </c>
      <c r="I18">
        <f t="shared" si="0"/>
        <v>-2.2671962526187031</v>
      </c>
      <c r="J18">
        <f t="shared" si="1"/>
        <v>0.65008439308477395</v>
      </c>
      <c r="K18">
        <f t="shared" si="2"/>
        <v>0.35302280664479296</v>
      </c>
      <c r="L18">
        <f t="shared" si="3"/>
        <v>0.35302280664479296</v>
      </c>
      <c r="M18">
        <f t="shared" si="4"/>
        <v>34.401746430077978</v>
      </c>
      <c r="N18">
        <f t="shared" si="5"/>
        <v>14.940488642417757</v>
      </c>
      <c r="P18">
        <f t="shared" si="6"/>
        <v>-3.2649934220494914</v>
      </c>
      <c r="Q18">
        <f t="shared" si="7"/>
        <v>1.0907035364254722</v>
      </c>
      <c r="R18">
        <f t="shared" si="8"/>
        <v>-17.851742676693654</v>
      </c>
      <c r="T18">
        <f t="shared" si="9"/>
        <v>-20.026032562317674</v>
      </c>
      <c r="V18" s="7">
        <f t="shared" si="10"/>
        <v>2.0081889070662718E-9</v>
      </c>
      <c r="W18">
        <f t="shared" si="11"/>
        <v>321.55172413793099</v>
      </c>
      <c r="Z18" s="7">
        <f t="shared" si="12"/>
        <v>314.69958891107069</v>
      </c>
      <c r="AA18" s="7">
        <f t="shared" si="13"/>
        <v>46.951757167179828</v>
      </c>
    </row>
    <row r="19" spans="3:27">
      <c r="C19">
        <v>-23.54</v>
      </c>
      <c r="G19">
        <f t="shared" si="14"/>
        <v>1.1700000000000002</v>
      </c>
      <c r="I19">
        <f t="shared" si="0"/>
        <v>-1.8194750729940381</v>
      </c>
      <c r="J19">
        <f t="shared" si="1"/>
        <v>0.68193551712597533</v>
      </c>
      <c r="K19">
        <f t="shared" si="2"/>
        <v>0.35965410637954109</v>
      </c>
      <c r="L19">
        <f t="shared" si="3"/>
        <v>0.35965410637954109</v>
      </c>
      <c r="M19">
        <f t="shared" si="4"/>
        <v>35.860318946040032</v>
      </c>
      <c r="N19">
        <f t="shared" si="5"/>
        <v>15.57393863755582</v>
      </c>
      <c r="P19">
        <f t="shared" si="6"/>
        <v>-3.2649934220494914</v>
      </c>
      <c r="Q19">
        <f t="shared" si="7"/>
        <v>0.87531368061340298</v>
      </c>
      <c r="R19">
        <f t="shared" si="8"/>
        <v>-18.608624635671376</v>
      </c>
      <c r="T19">
        <f t="shared" si="9"/>
        <v>-20.998304377107466</v>
      </c>
      <c r="V19" s="7">
        <f t="shared" si="10"/>
        <v>7.5954284975711219E-10</v>
      </c>
      <c r="W19">
        <f t="shared" si="11"/>
        <v>318.80341880341877</v>
      </c>
      <c r="Z19" s="7">
        <f t="shared" si="12"/>
        <v>311.32288889830579</v>
      </c>
      <c r="AA19" s="7">
        <f t="shared" si="13"/>
        <v>55.958327661289516</v>
      </c>
    </row>
    <row r="20" spans="3:27">
      <c r="G20">
        <f t="shared" si="14"/>
        <v>1.1800000000000002</v>
      </c>
      <c r="I20">
        <f t="shared" si="0"/>
        <v>-1.3717538933693731</v>
      </c>
      <c r="J20">
        <f t="shared" si="1"/>
        <v>0.71217105028418481</v>
      </c>
      <c r="K20">
        <f t="shared" si="2"/>
        <v>0.36617301120353063</v>
      </c>
      <c r="L20">
        <f t="shared" si="3"/>
        <v>0.36617301120353063</v>
      </c>
      <c r="M20">
        <f t="shared" si="4"/>
        <v>37.318891462002078</v>
      </c>
      <c r="N20">
        <f t="shared" si="5"/>
        <v>16.207388632693878</v>
      </c>
      <c r="P20">
        <f t="shared" si="6"/>
        <v>-3.2649934220494914</v>
      </c>
      <c r="Q20">
        <f t="shared" si="7"/>
        <v>0.65992382480133371</v>
      </c>
      <c r="R20">
        <f t="shared" si="8"/>
        <v>-19.365506594649091</v>
      </c>
      <c r="T20">
        <f t="shared" si="9"/>
        <v>-21.970576191897248</v>
      </c>
      <c r="V20" s="7">
        <f t="shared" si="10"/>
        <v>2.8727643031349683E-10</v>
      </c>
      <c r="W20">
        <f t="shared" si="11"/>
        <v>316.1016949152542</v>
      </c>
      <c r="Z20" s="7">
        <f t="shared" si="12"/>
        <v>307.94618888554089</v>
      </c>
      <c r="AA20" s="7">
        <f t="shared" si="13"/>
        <v>66.512278600690124</v>
      </c>
    </row>
    <row r="21" spans="3:27">
      <c r="C21" t="s">
        <v>21</v>
      </c>
      <c r="G21">
        <f t="shared" si="14"/>
        <v>1.1900000000000002</v>
      </c>
      <c r="I21">
        <f t="shared" si="0"/>
        <v>-0.92403271374470819</v>
      </c>
      <c r="J21">
        <f t="shared" si="1"/>
        <v>0.74062557375669014</v>
      </c>
      <c r="K21">
        <f t="shared" si="2"/>
        <v>0.37258235460190692</v>
      </c>
      <c r="L21">
        <f t="shared" si="3"/>
        <v>0.37258235460190692</v>
      </c>
      <c r="M21">
        <f t="shared" si="4"/>
        <v>38.777463977964125</v>
      </c>
      <c r="N21">
        <f t="shared" si="5"/>
        <v>16.840838627831939</v>
      </c>
      <c r="P21">
        <f t="shared" si="6"/>
        <v>-3.2649934220494914</v>
      </c>
      <c r="Q21">
        <f t="shared" si="7"/>
        <v>0.44453396898926451</v>
      </c>
      <c r="R21">
        <f t="shared" si="8"/>
        <v>-20.122388553626809</v>
      </c>
      <c r="T21">
        <f t="shared" si="9"/>
        <v>-22.942848006687036</v>
      </c>
      <c r="V21" s="7">
        <f t="shared" si="10"/>
        <v>1.0865449847899388E-10</v>
      </c>
      <c r="W21">
        <f t="shared" si="11"/>
        <v>313.44537815126046</v>
      </c>
      <c r="Z21" s="7">
        <f t="shared" si="12"/>
        <v>304.56948887277593</v>
      </c>
      <c r="AA21" s="7">
        <f t="shared" si="13"/>
        <v>78.781410483916474</v>
      </c>
    </row>
    <row r="22" spans="3:27">
      <c r="C22">
        <f>334/C7</f>
        <v>0.8954423592493298</v>
      </c>
      <c r="G22">
        <f t="shared" si="14"/>
        <v>1.2000000000000002</v>
      </c>
      <c r="I22">
        <f t="shared" si="0"/>
        <v>-0.47631153412004323</v>
      </c>
      <c r="J22">
        <f t="shared" si="1"/>
        <v>0.76718669191680067</v>
      </c>
      <c r="K22">
        <f t="shared" si="2"/>
        <v>0.37888487561031026</v>
      </c>
      <c r="L22">
        <f t="shared" si="3"/>
        <v>0.37888487561031026</v>
      </c>
      <c r="M22">
        <f t="shared" si="4"/>
        <v>40.236036493926171</v>
      </c>
      <c r="N22">
        <f t="shared" si="5"/>
        <v>17.474288622969997</v>
      </c>
      <c r="P22">
        <f t="shared" si="6"/>
        <v>-3.2649934220494914</v>
      </c>
      <c r="Q22">
        <f t="shared" si="7"/>
        <v>0.2291441131771953</v>
      </c>
      <c r="R22">
        <f t="shared" si="8"/>
        <v>-20.879270512604524</v>
      </c>
      <c r="T22">
        <f t="shared" si="9"/>
        <v>-23.915119821476821</v>
      </c>
      <c r="V22" s="7">
        <f t="shared" si="10"/>
        <v>4.1095609642734636E-11</v>
      </c>
      <c r="W22">
        <f t="shared" si="11"/>
        <v>310.83333333333331</v>
      </c>
      <c r="Z22" s="7">
        <f t="shared" si="12"/>
        <v>301.19278886001098</v>
      </c>
      <c r="AA22" s="7">
        <f t="shared" si="13"/>
        <v>92.940097742105834</v>
      </c>
    </row>
    <row r="23" spans="3:27">
      <c r="G23">
        <f t="shared" si="14"/>
        <v>1.2100000000000002</v>
      </c>
      <c r="I23">
        <f t="shared" si="0"/>
        <v>-2.8590354495378278E-2</v>
      </c>
      <c r="J23">
        <f t="shared" si="1"/>
        <v>0.7917924820496256</v>
      </c>
      <c r="K23">
        <f t="shared" si="2"/>
        <v>0.38508322271774825</v>
      </c>
      <c r="L23">
        <f t="shared" si="3"/>
        <v>0.38508322271774825</v>
      </c>
      <c r="M23">
        <f t="shared" si="4"/>
        <v>41.694609009888218</v>
      </c>
      <c r="N23">
        <f t="shared" si="5"/>
        <v>18.107738618108058</v>
      </c>
      <c r="P23">
        <f t="shared" si="6"/>
        <v>-3.2649934220494914</v>
      </c>
      <c r="Q23">
        <f t="shared" si="7"/>
        <v>1.3754257365126053E-2</v>
      </c>
      <c r="R23">
        <f t="shared" si="8"/>
        <v>-21.636152471582243</v>
      </c>
      <c r="T23">
        <f t="shared" si="9"/>
        <v>-24.887391636266607</v>
      </c>
      <c r="V23" s="7">
        <f t="shared" si="10"/>
        <v>1.5543296923270308E-11</v>
      </c>
      <c r="W23">
        <f t="shared" si="11"/>
        <v>308.26446280991729</v>
      </c>
      <c r="Z23" s="7">
        <f t="shared" si="12"/>
        <v>297.81608884724608</v>
      </c>
      <c r="AA23" s="7">
        <f t="shared" si="13"/>
        <v>109.16851846382573</v>
      </c>
    </row>
    <row r="24" spans="3:27">
      <c r="G24">
        <f t="shared" si="14"/>
        <v>1.2200000000000002</v>
      </c>
      <c r="I24">
        <f t="shared" si="0"/>
        <v>0.41913082512928668</v>
      </c>
      <c r="J24">
        <f t="shared" si="1"/>
        <v>0.81442675662466213</v>
      </c>
      <c r="K24">
        <f t="shared" si="2"/>
        <v>0.39117995757752333</v>
      </c>
      <c r="L24">
        <f t="shared" si="3"/>
        <v>0.39117995757752333</v>
      </c>
      <c r="M24">
        <f t="shared" si="4"/>
        <v>43.153181525850258</v>
      </c>
      <c r="N24">
        <f t="shared" si="5"/>
        <v>18.741188613246113</v>
      </c>
      <c r="P24">
        <f t="shared" si="6"/>
        <v>-3.2649934220494914</v>
      </c>
      <c r="Q24">
        <f t="shared" si="7"/>
        <v>-0.20163559844694318</v>
      </c>
      <c r="R24">
        <f t="shared" si="8"/>
        <v>-22.393034430559958</v>
      </c>
      <c r="T24">
        <f t="shared" si="9"/>
        <v>-25.859663451056392</v>
      </c>
      <c r="V24" s="7">
        <f t="shared" si="10"/>
        <v>5.8788294259471117E-12</v>
      </c>
      <c r="W24">
        <f t="shared" si="11"/>
        <v>305.73770491803276</v>
      </c>
      <c r="Z24" s="7">
        <f t="shared" si="12"/>
        <v>294.43938883448118</v>
      </c>
      <c r="AA24" s="7">
        <f t="shared" si="13"/>
        <v>127.65194632384039</v>
      </c>
    </row>
    <row r="25" spans="3:27">
      <c r="G25">
        <f t="shared" si="14"/>
        <v>1.2300000000000002</v>
      </c>
      <c r="I25">
        <f t="shared" si="0"/>
        <v>0.86685200475395163</v>
      </c>
      <c r="J25">
        <f t="shared" si="1"/>
        <v>0.8351128589670731</v>
      </c>
      <c r="K25">
        <f t="shared" si="2"/>
        <v>0.39717755853713954</v>
      </c>
      <c r="L25">
        <f t="shared" si="3"/>
        <v>0.39717755853713954</v>
      </c>
      <c r="M25">
        <f t="shared" si="4"/>
        <v>44.611754041812311</v>
      </c>
      <c r="N25">
        <f t="shared" si="5"/>
        <v>19.374638608384178</v>
      </c>
      <c r="P25">
        <f t="shared" si="6"/>
        <v>-3.2649934220494914</v>
      </c>
      <c r="Q25">
        <f t="shared" si="7"/>
        <v>-0.41702545425901238</v>
      </c>
      <c r="R25">
        <f t="shared" si="8"/>
        <v>-23.149916389537676</v>
      </c>
      <c r="T25">
        <f t="shared" si="9"/>
        <v>-26.83193526584618</v>
      </c>
      <c r="V25" s="7">
        <f t="shared" si="10"/>
        <v>2.2235073800616795E-12</v>
      </c>
      <c r="W25">
        <f t="shared" si="11"/>
        <v>303.25203252032514</v>
      </c>
      <c r="Z25" s="7">
        <f t="shared" si="12"/>
        <v>291.06268882171622</v>
      </c>
      <c r="AA25" s="7">
        <f t="shared" si="13"/>
        <v>148.58009980281705</v>
      </c>
    </row>
    <row r="26" spans="3:27">
      <c r="G26">
        <f t="shared" si="14"/>
        <v>1.2400000000000002</v>
      </c>
      <c r="I26">
        <f t="shared" si="0"/>
        <v>1.3145731843786166</v>
      </c>
      <c r="J26">
        <f t="shared" si="1"/>
        <v>0.85390669113979112</v>
      </c>
      <c r="K26">
        <f t="shared" si="2"/>
        <v>0.40307842399740712</v>
      </c>
      <c r="L26">
        <f t="shared" si="3"/>
        <v>0.40307842399740712</v>
      </c>
      <c r="M26">
        <f t="shared" si="4"/>
        <v>46.070326557774372</v>
      </c>
      <c r="N26">
        <f t="shared" si="5"/>
        <v>20.008088603522243</v>
      </c>
      <c r="P26">
        <f t="shared" si="6"/>
        <v>-3.2649934220494914</v>
      </c>
      <c r="Q26">
        <f t="shared" si="7"/>
        <v>-0.63241531007108165</v>
      </c>
      <c r="R26">
        <f t="shared" si="8"/>
        <v>-23.906798348515402</v>
      </c>
      <c r="T26">
        <f t="shared" si="9"/>
        <v>-27.804207080635976</v>
      </c>
      <c r="V26" s="7">
        <f t="shared" si="10"/>
        <v>8.4098120747774798E-13</v>
      </c>
      <c r="W26">
        <f t="shared" si="11"/>
        <v>300.80645161290317</v>
      </c>
      <c r="Z26" s="7">
        <f t="shared" si="12"/>
        <v>287.68598880895127</v>
      </c>
      <c r="AA26" s="7">
        <f t="shared" si="13"/>
        <v>172.14654418988559</v>
      </c>
    </row>
    <row r="27" spans="3:27">
      <c r="G27">
        <f t="shared" si="14"/>
        <v>1.2500000000000002</v>
      </c>
      <c r="I27">
        <f t="shared" si="0"/>
        <v>1.7622943640032815</v>
      </c>
      <c r="J27">
        <f t="shared" si="1"/>
        <v>0.87088957968686864</v>
      </c>
      <c r="K27">
        <f t="shared" si="2"/>
        <v>0.40888487561031028</v>
      </c>
      <c r="L27">
        <f t="shared" si="3"/>
        <v>0.40888487561031028</v>
      </c>
      <c r="M27">
        <f t="shared" si="4"/>
        <v>47.528899073736412</v>
      </c>
      <c r="N27">
        <f t="shared" si="5"/>
        <v>20.641538598660297</v>
      </c>
      <c r="P27">
        <f t="shared" si="6"/>
        <v>-3.2649934220494914</v>
      </c>
      <c r="Q27">
        <f t="shared" si="7"/>
        <v>-0.84780516588315091</v>
      </c>
      <c r="R27">
        <f t="shared" si="8"/>
        <v>-24.663680307493113</v>
      </c>
      <c r="T27">
        <f t="shared" si="9"/>
        <v>-28.776478895425754</v>
      </c>
      <c r="V27" s="7">
        <f t="shared" si="10"/>
        <v>3.1807827474407783E-13</v>
      </c>
      <c r="W27">
        <f t="shared" si="11"/>
        <v>298.39999999999992</v>
      </c>
      <c r="Z27" s="7">
        <f t="shared" si="12"/>
        <v>284.30928879618637</v>
      </c>
      <c r="AA27" s="7">
        <f t="shared" si="13"/>
        <v>198.54814222927683</v>
      </c>
    </row>
    <row r="28" spans="3:27">
      <c r="G28">
        <f t="shared" si="14"/>
        <v>1.2600000000000002</v>
      </c>
      <c r="I28">
        <f t="shared" si="0"/>
        <v>2.2100155436279465</v>
      </c>
      <c r="J28">
        <f t="shared" si="1"/>
        <v>0.88616145217004472</v>
      </c>
      <c r="K28">
        <f t="shared" si="2"/>
        <v>0.41459916132459601</v>
      </c>
      <c r="L28">
        <f t="shared" si="3"/>
        <v>0.41459916132459601</v>
      </c>
      <c r="M28">
        <f t="shared" si="4"/>
        <v>48.987471589698458</v>
      </c>
      <c r="N28">
        <f t="shared" si="5"/>
        <v>21.274988593798358</v>
      </c>
      <c r="P28">
        <f t="shared" si="6"/>
        <v>-3.2649934220494914</v>
      </c>
      <c r="Q28">
        <f t="shared" si="7"/>
        <v>-1.0631950216952202</v>
      </c>
      <c r="R28">
        <f t="shared" si="8"/>
        <v>-25.420562266470832</v>
      </c>
      <c r="T28">
        <f t="shared" si="9"/>
        <v>-29.748750710215543</v>
      </c>
      <c r="V28" s="7">
        <f t="shared" si="10"/>
        <v>1.2030445860687677E-13</v>
      </c>
      <c r="W28">
        <f t="shared" si="11"/>
        <v>296.03174603174597</v>
      </c>
      <c r="Z28" s="7">
        <f t="shared" si="12"/>
        <v>280.93258878342141</v>
      </c>
      <c r="AA28" s="7">
        <f t="shared" si="13"/>
        <v>227.98454960963207</v>
      </c>
    </row>
    <row r="29" spans="3:27">
      <c r="G29">
        <f t="shared" si="14"/>
        <v>1.2700000000000002</v>
      </c>
      <c r="I29">
        <f t="shared" si="0"/>
        <v>2.6577367232526115</v>
      </c>
      <c r="J29">
        <f t="shared" si="1"/>
        <v>0.89983465326146395</v>
      </c>
      <c r="K29">
        <f t="shared" si="2"/>
        <v>0.42022345828747565</v>
      </c>
      <c r="L29">
        <f t="shared" si="3"/>
        <v>0.42022345828747565</v>
      </c>
      <c r="M29">
        <f t="shared" si="4"/>
        <v>50.446044105660505</v>
      </c>
      <c r="N29">
        <f t="shared" si="5"/>
        <v>21.908438588936416</v>
      </c>
      <c r="P29">
        <f t="shared" si="6"/>
        <v>-3.2649934220494914</v>
      </c>
      <c r="Q29">
        <f t="shared" si="7"/>
        <v>-1.2785848775072892</v>
      </c>
      <c r="R29">
        <f t="shared" si="8"/>
        <v>-26.17744422544855</v>
      </c>
      <c r="T29">
        <f t="shared" si="9"/>
        <v>-30.721022525005331</v>
      </c>
      <c r="V29" s="7">
        <f t="shared" si="10"/>
        <v>4.5501890288919204E-14</v>
      </c>
      <c r="W29">
        <f t="shared" si="11"/>
        <v>293.70078740157476</v>
      </c>
      <c r="Z29" s="7">
        <f t="shared" si="12"/>
        <v>277.55588877065651</v>
      </c>
      <c r="AA29" s="7">
        <f t="shared" si="13"/>
        <v>260.65775180262597</v>
      </c>
    </row>
    <row r="30" spans="3:27">
      <c r="G30">
        <f t="shared" si="14"/>
        <v>1.2800000000000002</v>
      </c>
      <c r="I30">
        <f t="shared" si="0"/>
        <v>3.1054579028772764</v>
      </c>
      <c r="J30">
        <f t="shared" si="1"/>
        <v>0.91202859437159767</v>
      </c>
      <c r="K30">
        <f t="shared" si="2"/>
        <v>0.42575987561031026</v>
      </c>
      <c r="L30">
        <f t="shared" si="3"/>
        <v>0.42575987561031026</v>
      </c>
      <c r="M30">
        <f t="shared" si="4"/>
        <v>51.904616621622552</v>
      </c>
      <c r="N30">
        <f t="shared" si="5"/>
        <v>22.541888584074478</v>
      </c>
      <c r="P30">
        <f t="shared" si="6"/>
        <v>-3.2649934220494914</v>
      </c>
      <c r="Q30">
        <f t="shared" si="7"/>
        <v>-1.4939747333193585</v>
      </c>
      <c r="R30">
        <f t="shared" si="8"/>
        <v>-26.934326184426265</v>
      </c>
      <c r="T30">
        <f t="shared" si="9"/>
        <v>-31.693294339795116</v>
      </c>
      <c r="V30" s="7">
        <f t="shared" si="10"/>
        <v>1.7209852767223197E-14</v>
      </c>
      <c r="W30">
        <f t="shared" si="11"/>
        <v>291.40624999999994</v>
      </c>
      <c r="Z30" s="7">
        <f t="shared" si="12"/>
        <v>274.17918875789155</v>
      </c>
      <c r="AA30" s="7">
        <f t="shared" si="13"/>
        <v>296.77163903935309</v>
      </c>
    </row>
    <row r="31" spans="3:27">
      <c r="G31">
        <f t="shared" si="14"/>
        <v>1.2900000000000003</v>
      </c>
      <c r="I31">
        <f t="shared" si="0"/>
        <v>3.5531790825019414</v>
      </c>
      <c r="J31">
        <f t="shared" si="1"/>
        <v>0.92286531796607496</v>
      </c>
      <c r="K31">
        <f t="shared" si="2"/>
        <v>0.43121045700565919</v>
      </c>
      <c r="L31">
        <f t="shared" si="3"/>
        <v>0.43121045700565919</v>
      </c>
      <c r="M31">
        <f t="shared" si="4"/>
        <v>53.363189137584605</v>
      </c>
      <c r="N31">
        <f t="shared" si="5"/>
        <v>23.175338579212539</v>
      </c>
      <c r="P31">
        <f t="shared" si="6"/>
        <v>-3.2649934220494914</v>
      </c>
      <c r="Q31">
        <f t="shared" si="7"/>
        <v>-1.7093645891314277</v>
      </c>
      <c r="R31">
        <f t="shared" si="8"/>
        <v>-27.691208143403987</v>
      </c>
      <c r="T31">
        <f t="shared" si="9"/>
        <v>-32.665566154584909</v>
      </c>
      <c r="V31" s="7">
        <f t="shared" si="10"/>
        <v>6.5091588588710679E-15</v>
      </c>
      <c r="W31">
        <f t="shared" si="11"/>
        <v>289.14728682170539</v>
      </c>
      <c r="Z31" s="7">
        <f t="shared" si="12"/>
        <v>270.80248874512665</v>
      </c>
      <c r="AA31" s="7">
        <f t="shared" si="13"/>
        <v>336.53161647044703</v>
      </c>
    </row>
    <row r="32" spans="3:27">
      <c r="G32">
        <f t="shared" si="14"/>
        <v>1.3000000000000003</v>
      </c>
      <c r="I32">
        <f t="shared" si="0"/>
        <v>4.0009002621266063</v>
      </c>
      <c r="J32">
        <f t="shared" si="1"/>
        <v>0.93246597212964144</v>
      </c>
      <c r="K32">
        <f t="shared" si="2"/>
        <v>0.43657718330261802</v>
      </c>
      <c r="L32">
        <f t="shared" si="3"/>
        <v>0.43657718330261802</v>
      </c>
      <c r="M32">
        <f t="shared" si="4"/>
        <v>54.821761653546652</v>
      </c>
      <c r="N32">
        <f t="shared" si="5"/>
        <v>23.808788574350601</v>
      </c>
      <c r="P32">
        <f t="shared" si="6"/>
        <v>-3.2649934220494914</v>
      </c>
      <c r="Q32">
        <f t="shared" si="7"/>
        <v>-1.924754444943497</v>
      </c>
      <c r="R32">
        <f t="shared" si="8"/>
        <v>-28.448090102381702</v>
      </c>
      <c r="T32">
        <f t="shared" si="9"/>
        <v>-33.637837969374687</v>
      </c>
      <c r="V32" s="7">
        <f t="shared" si="10"/>
        <v>2.4619123488792371E-15</v>
      </c>
      <c r="W32">
        <f t="shared" si="11"/>
        <v>286.92307692307685</v>
      </c>
      <c r="Z32" s="7">
        <f t="shared" si="12"/>
        <v>267.42578873236175</v>
      </c>
      <c r="AA32" s="7">
        <f t="shared" si="13"/>
        <v>380.14424679179837</v>
      </c>
    </row>
    <row r="33" spans="7:27">
      <c r="G33">
        <f t="shared" si="14"/>
        <v>1.3100000000000003</v>
      </c>
      <c r="I33">
        <f t="shared" si="0"/>
        <v>4.4486214417512713</v>
      </c>
      <c r="J33">
        <f t="shared" si="1"/>
        <v>0.94094813245763564</v>
      </c>
      <c r="K33">
        <f t="shared" si="2"/>
        <v>0.44186197484695156</v>
      </c>
      <c r="L33">
        <f t="shared" si="3"/>
        <v>0.44186197484695156</v>
      </c>
      <c r="M33">
        <f t="shared" si="4"/>
        <v>56.280334169508698</v>
      </c>
      <c r="N33">
        <f t="shared" si="5"/>
        <v>24.442238569488659</v>
      </c>
      <c r="P33">
        <f t="shared" si="6"/>
        <v>-3.2649934220494914</v>
      </c>
      <c r="Q33">
        <f t="shared" si="7"/>
        <v>-2.1401443007555661</v>
      </c>
      <c r="R33">
        <f t="shared" si="8"/>
        <v>-29.20497206135942</v>
      </c>
      <c r="T33">
        <f t="shared" si="9"/>
        <v>-34.610109784164479</v>
      </c>
      <c r="V33" s="7">
        <f t="shared" si="10"/>
        <v>9.3115140450193344E-16</v>
      </c>
      <c r="W33">
        <f t="shared" si="11"/>
        <v>284.73282442748086</v>
      </c>
      <c r="Z33" s="7">
        <f t="shared" si="12"/>
        <v>264.04908871959674</v>
      </c>
      <c r="AA33" s="7">
        <f t="shared" si="13"/>
        <v>427.81692283360081</v>
      </c>
    </row>
    <row r="34" spans="7:27">
      <c r="G34">
        <f t="shared" si="14"/>
        <v>1.3200000000000003</v>
      </c>
      <c r="I34">
        <f t="shared" si="0"/>
        <v>4.8963426213759362</v>
      </c>
      <c r="J34">
        <f t="shared" si="1"/>
        <v>0.94842387358669344</v>
      </c>
      <c r="K34">
        <f t="shared" si="2"/>
        <v>0.44706669379212849</v>
      </c>
      <c r="L34">
        <f t="shared" si="3"/>
        <v>0.44706669379212849</v>
      </c>
      <c r="M34">
        <f t="shared" si="4"/>
        <v>57.738906685470745</v>
      </c>
      <c r="N34">
        <f t="shared" si="5"/>
        <v>25.075688564626716</v>
      </c>
      <c r="P34">
        <f t="shared" si="6"/>
        <v>-3.2649934220494914</v>
      </c>
      <c r="Q34">
        <f t="shared" si="7"/>
        <v>-2.3555341565676353</v>
      </c>
      <c r="R34">
        <f t="shared" si="8"/>
        <v>-29.961854020337139</v>
      </c>
      <c r="T34">
        <f t="shared" si="9"/>
        <v>-35.582381598954264</v>
      </c>
      <c r="V34" s="7">
        <f t="shared" si="10"/>
        <v>3.5218269996518869E-16</v>
      </c>
      <c r="W34">
        <f t="shared" si="11"/>
        <v>282.57575757575751</v>
      </c>
      <c r="Z34" s="7">
        <f t="shared" si="12"/>
        <v>260.67238870683184</v>
      </c>
      <c r="AA34" s="7">
        <f t="shared" si="13"/>
        <v>479.75756780822206</v>
      </c>
    </row>
    <row r="35" spans="7:27">
      <c r="G35">
        <f t="shared" si="14"/>
        <v>1.3300000000000003</v>
      </c>
      <c r="I35">
        <f t="shared" si="0"/>
        <v>5.3440638010006083</v>
      </c>
      <c r="J35">
        <f t="shared" si="1"/>
        <v>0.95499847668853888</v>
      </c>
      <c r="K35">
        <f t="shared" si="2"/>
        <v>0.45219314628700202</v>
      </c>
      <c r="L35">
        <f t="shared" si="3"/>
        <v>0.45219314628700202</v>
      </c>
      <c r="M35">
        <f t="shared" si="4"/>
        <v>59.197479201432806</v>
      </c>
      <c r="N35">
        <f t="shared" si="5"/>
        <v>25.709138559764785</v>
      </c>
      <c r="P35">
        <f t="shared" si="6"/>
        <v>-3.2649934220494914</v>
      </c>
      <c r="Q35">
        <f t="shared" si="7"/>
        <v>-2.5709240123797081</v>
      </c>
      <c r="R35">
        <f t="shared" si="8"/>
        <v>-30.718735979314861</v>
      </c>
      <c r="T35">
        <f t="shared" si="9"/>
        <v>-36.554653413744063</v>
      </c>
      <c r="V35" s="7">
        <f t="shared" si="10"/>
        <v>1.3320353011883453E-16</v>
      </c>
      <c r="W35">
        <f t="shared" si="11"/>
        <v>280.45112781954879</v>
      </c>
      <c r="Z35" s="7">
        <f t="shared" si="12"/>
        <v>257.29568869406688</v>
      </c>
      <c r="AA35" s="7">
        <f t="shared" si="13"/>
        <v>536.17436109389826</v>
      </c>
    </row>
    <row r="36" spans="7:27">
      <c r="G36">
        <f t="shared" si="14"/>
        <v>1.3400000000000003</v>
      </c>
      <c r="I36">
        <f t="shared" si="0"/>
        <v>5.7917849806252732</v>
      </c>
      <c r="J36">
        <f t="shared" si="1"/>
        <v>0.96076965686825644</v>
      </c>
      <c r="K36">
        <f t="shared" si="2"/>
        <v>0.4572430845655342</v>
      </c>
      <c r="L36">
        <f t="shared" si="3"/>
        <v>0.4572430845655342</v>
      </c>
      <c r="M36">
        <f t="shared" si="4"/>
        <v>60.65605171739486</v>
      </c>
      <c r="N36">
        <f t="shared" si="5"/>
        <v>26.342588554902846</v>
      </c>
      <c r="P36">
        <f t="shared" si="6"/>
        <v>-3.2649934220494914</v>
      </c>
      <c r="Q36">
        <f t="shared" si="7"/>
        <v>-2.7863138681917774</v>
      </c>
      <c r="R36">
        <f t="shared" si="8"/>
        <v>-31.475617938292583</v>
      </c>
      <c r="T36">
        <f t="shared" si="9"/>
        <v>-37.526925228533855</v>
      </c>
      <c r="V36" s="7">
        <f t="shared" si="10"/>
        <v>5.0380613351743854E-17</v>
      </c>
      <c r="W36">
        <f t="shared" si="11"/>
        <v>278.3582089552238</v>
      </c>
      <c r="Z36" s="7">
        <f t="shared" si="12"/>
        <v>253.91898868130193</v>
      </c>
      <c r="AA36" s="7">
        <f t="shared" si="13"/>
        <v>597.27548759727404</v>
      </c>
    </row>
    <row r="37" spans="7:27">
      <c r="G37">
        <f t="shared" si="14"/>
        <v>1.3500000000000003</v>
      </c>
      <c r="I37">
        <f t="shared" si="0"/>
        <v>6.2395061602499382</v>
      </c>
      <c r="J37">
        <f t="shared" si="1"/>
        <v>0.96582720097552832</v>
      </c>
      <c r="K37">
        <f t="shared" si="2"/>
        <v>0.46221820894364363</v>
      </c>
      <c r="L37">
        <f t="shared" si="3"/>
        <v>0.46221820894364363</v>
      </c>
      <c r="M37">
        <f t="shared" si="4"/>
        <v>62.114624233356899</v>
      </c>
      <c r="N37">
        <f t="shared" si="5"/>
        <v>26.976038550040904</v>
      </c>
      <c r="P37">
        <f t="shared" si="6"/>
        <v>-3.2649934220494914</v>
      </c>
      <c r="Q37">
        <f t="shared" si="7"/>
        <v>-3.0017037240038467</v>
      </c>
      <c r="R37">
        <f t="shared" si="8"/>
        <v>-32.232499897270294</v>
      </c>
      <c r="T37">
        <f t="shared" si="9"/>
        <v>-38.499197043323633</v>
      </c>
      <c r="V37" s="7">
        <f t="shared" si="10"/>
        <v>1.9055097109164775E-17</v>
      </c>
      <c r="W37">
        <f t="shared" si="11"/>
        <v>276.29629629629625</v>
      </c>
      <c r="Z37" s="7">
        <f t="shared" si="12"/>
        <v>250.54228866853703</v>
      </c>
      <c r="AA37" s="7">
        <f t="shared" si="13"/>
        <v>663.26890889068022</v>
      </c>
    </row>
    <row r="38" spans="7:27">
      <c r="G38">
        <f t="shared" si="14"/>
        <v>1.3600000000000003</v>
      </c>
      <c r="I38">
        <f t="shared" si="0"/>
        <v>6.6872273398746032</v>
      </c>
      <c r="J38">
        <f t="shared" si="1"/>
        <v>0.97025291807781544</v>
      </c>
      <c r="K38">
        <f t="shared" si="2"/>
        <v>0.46712016972795734</v>
      </c>
      <c r="L38">
        <f t="shared" si="3"/>
        <v>0.46712016972795734</v>
      </c>
      <c r="M38">
        <f t="shared" si="4"/>
        <v>63.573196749318946</v>
      </c>
      <c r="N38">
        <f t="shared" si="5"/>
        <v>27.609488545178962</v>
      </c>
      <c r="P38">
        <f t="shared" si="6"/>
        <v>-3.2649934220494914</v>
      </c>
      <c r="Q38">
        <f t="shared" si="7"/>
        <v>-3.2170935798159159</v>
      </c>
      <c r="R38">
        <f t="shared" si="8"/>
        <v>-32.989381856248016</v>
      </c>
      <c r="T38">
        <f t="shared" si="9"/>
        <v>-39.471468858113425</v>
      </c>
      <c r="V38" s="7">
        <f t="shared" si="10"/>
        <v>7.2070723574691566E-18</v>
      </c>
      <c r="W38">
        <f t="shared" si="11"/>
        <v>274.26470588235287</v>
      </c>
      <c r="Z38" s="7">
        <f t="shared" si="12"/>
        <v>247.16558865577207</v>
      </c>
      <c r="AA38" s="7">
        <f t="shared" si="13"/>
        <v>734.36215445996834</v>
      </c>
    </row>
    <row r="39" spans="7:27">
      <c r="G39">
        <f t="shared" si="14"/>
        <v>1.3700000000000003</v>
      </c>
      <c r="I39">
        <f t="shared" si="0"/>
        <v>7.1349485194992681</v>
      </c>
      <c r="J39">
        <f t="shared" si="1"/>
        <v>0.97412081894254743</v>
      </c>
      <c r="K39">
        <f t="shared" si="2"/>
        <v>0.47195056904096733</v>
      </c>
      <c r="L39">
        <f t="shared" si="3"/>
        <v>0.47195056904096733</v>
      </c>
      <c r="M39">
        <f t="shared" si="4"/>
        <v>65.031769265281014</v>
      </c>
      <c r="N39">
        <f t="shared" si="5"/>
        <v>28.242938540317031</v>
      </c>
      <c r="P39">
        <f t="shared" si="6"/>
        <v>-3.2649934220494914</v>
      </c>
      <c r="Q39">
        <f t="shared" si="7"/>
        <v>-3.4324834356279852</v>
      </c>
      <c r="R39">
        <f t="shared" si="8"/>
        <v>-33.746263815225738</v>
      </c>
      <c r="T39">
        <f t="shared" si="9"/>
        <v>-40.443740672903218</v>
      </c>
      <c r="V39" s="7">
        <f t="shared" si="10"/>
        <v>2.7258791528705435E-18</v>
      </c>
      <c r="W39">
        <f t="shared" si="11"/>
        <v>272.26277372262768</v>
      </c>
      <c r="Z39" s="7">
        <f t="shared" si="12"/>
        <v>243.78888864300714</v>
      </c>
      <c r="AA39" s="7">
        <f t="shared" si="13"/>
        <v>810.76213152743742</v>
      </c>
    </row>
    <row r="40" spans="7:27">
      <c r="G40">
        <f t="shared" si="14"/>
        <v>1.3800000000000003</v>
      </c>
      <c r="I40">
        <f t="shared" si="0"/>
        <v>7.5826696991239331</v>
      </c>
      <c r="J40">
        <f t="shared" si="1"/>
        <v>0.97749745539317179</v>
      </c>
      <c r="K40">
        <f t="shared" si="2"/>
        <v>0.4767109625668321</v>
      </c>
      <c r="L40">
        <f t="shared" si="3"/>
        <v>0.4767109625668321</v>
      </c>
      <c r="M40">
        <f t="shared" si="4"/>
        <v>66.490341781243046</v>
      </c>
      <c r="N40">
        <f t="shared" si="5"/>
        <v>28.876388535455085</v>
      </c>
      <c r="P40">
        <f t="shared" si="6"/>
        <v>-3.2649934220494914</v>
      </c>
      <c r="Q40">
        <f t="shared" si="7"/>
        <v>-3.6478732914400545</v>
      </c>
      <c r="R40">
        <f t="shared" si="8"/>
        <v>-34.503145774203453</v>
      </c>
      <c r="T40">
        <f t="shared" si="9"/>
        <v>-41.416012487692996</v>
      </c>
      <c r="V40" s="7">
        <f t="shared" si="10"/>
        <v>1.0309896706328632E-18</v>
      </c>
      <c r="W40">
        <f t="shared" si="11"/>
        <v>270.28985507246369</v>
      </c>
      <c r="Z40" s="7">
        <f t="shared" si="12"/>
        <v>240.41218863024224</v>
      </c>
      <c r="AA40" s="7">
        <f t="shared" si="13"/>
        <v>892.67495203264593</v>
      </c>
    </row>
    <row r="41" spans="7:27">
      <c r="G41">
        <f t="shared" si="14"/>
        <v>1.3900000000000003</v>
      </c>
      <c r="I41">
        <f t="shared" si="0"/>
        <v>8.030390878748598</v>
      </c>
      <c r="J41">
        <f t="shared" si="1"/>
        <v>0.98044236412382035</v>
      </c>
      <c r="K41">
        <f t="shared" si="2"/>
        <v>0.48140286122182108</v>
      </c>
      <c r="L41">
        <f t="shared" si="3"/>
        <v>0.48140286122182108</v>
      </c>
      <c r="M41">
        <f t="shared" si="4"/>
        <v>67.948914297205093</v>
      </c>
      <c r="N41">
        <f t="shared" si="5"/>
        <v>29.509838530593143</v>
      </c>
      <c r="P41">
        <f t="shared" si="6"/>
        <v>-3.2649934220494914</v>
      </c>
      <c r="Q41">
        <f t="shared" si="7"/>
        <v>-3.8632631472521237</v>
      </c>
      <c r="R41">
        <f t="shared" si="8"/>
        <v>-35.260027733181168</v>
      </c>
      <c r="T41">
        <f t="shared" si="9"/>
        <v>-42.388284302482781</v>
      </c>
      <c r="V41" s="7">
        <f t="shared" si="10"/>
        <v>3.8994380944302001E-19</v>
      </c>
      <c r="W41">
        <f t="shared" si="11"/>
        <v>268.34532374100712</v>
      </c>
      <c r="Z41" s="7">
        <f t="shared" si="12"/>
        <v>237.03548861747731</v>
      </c>
      <c r="AA41" s="7">
        <f t="shared" si="13"/>
        <v>980.30577546262089</v>
      </c>
    </row>
    <row r="42" spans="7:27">
      <c r="G42">
        <f t="shared" si="14"/>
        <v>1.4000000000000004</v>
      </c>
      <c r="I42">
        <f t="shared" si="0"/>
        <v>8.478112058373263</v>
      </c>
      <c r="J42">
        <f t="shared" si="1"/>
        <v>0.98300857180665646</v>
      </c>
      <c r="K42">
        <f t="shared" si="2"/>
        <v>0.48602773275316746</v>
      </c>
      <c r="L42">
        <f t="shared" si="3"/>
        <v>0.48602773275316746</v>
      </c>
      <c r="M42">
        <f t="shared" si="4"/>
        <v>69.407486813167139</v>
      </c>
      <c r="N42">
        <f t="shared" si="5"/>
        <v>30.143288525731204</v>
      </c>
      <c r="P42">
        <f t="shared" si="6"/>
        <v>-3.2649934220494914</v>
      </c>
      <c r="Q42">
        <f t="shared" si="7"/>
        <v>-4.0786530030641925</v>
      </c>
      <c r="R42">
        <f t="shared" si="8"/>
        <v>-36.016909692158883</v>
      </c>
      <c r="T42">
        <f t="shared" si="9"/>
        <v>-43.360556117272566</v>
      </c>
      <c r="V42" s="7">
        <f t="shared" si="10"/>
        <v>1.4748564302258828E-19</v>
      </c>
      <c r="W42">
        <f t="shared" si="11"/>
        <v>266.42857142857139</v>
      </c>
      <c r="Z42" s="7">
        <f t="shared" si="12"/>
        <v>233.65878860471238</v>
      </c>
      <c r="AA42" s="7">
        <f t="shared" si="13"/>
        <v>1073.8586663228846</v>
      </c>
    </row>
    <row r="43" spans="7:27">
      <c r="G43">
        <f t="shared" si="14"/>
        <v>1.4100000000000004</v>
      </c>
      <c r="I43">
        <f t="shared" si="0"/>
        <v>8.9258332379979279</v>
      </c>
      <c r="J43">
        <f t="shared" si="1"/>
        <v>0.98524312881546317</v>
      </c>
      <c r="K43">
        <f t="shared" si="2"/>
        <v>0.4905870032698848</v>
      </c>
      <c r="L43">
        <f t="shared" si="3"/>
        <v>0.4905870032698848</v>
      </c>
      <c r="M43">
        <f t="shared" si="4"/>
        <v>70.8660593291292</v>
      </c>
      <c r="N43">
        <f t="shared" si="5"/>
        <v>30.776738520869269</v>
      </c>
      <c r="P43">
        <f t="shared" si="6"/>
        <v>-3.2649934220494914</v>
      </c>
      <c r="Q43">
        <f t="shared" si="7"/>
        <v>-4.2940428588762618</v>
      </c>
      <c r="R43">
        <f t="shared" si="8"/>
        <v>-36.773791651136612</v>
      </c>
      <c r="T43">
        <f t="shared" si="9"/>
        <v>-44.332827932062365</v>
      </c>
      <c r="V43" s="7">
        <f t="shared" si="10"/>
        <v>5.5782434214959665E-20</v>
      </c>
      <c r="W43">
        <f t="shared" si="11"/>
        <v>264.53900709219852</v>
      </c>
      <c r="Z43" s="7">
        <f t="shared" si="12"/>
        <v>230.2820885919474</v>
      </c>
      <c r="AA43" s="7">
        <f t="shared" si="13"/>
        <v>1173.5364651328473</v>
      </c>
    </row>
    <row r="44" spans="7:27">
      <c r="G44">
        <f t="shared" si="14"/>
        <v>1.4200000000000004</v>
      </c>
      <c r="I44">
        <f t="shared" si="0"/>
        <v>9.3735544176225929</v>
      </c>
      <c r="J44">
        <f t="shared" si="1"/>
        <v>0.98718764758058475</v>
      </c>
      <c r="K44">
        <f t="shared" si="2"/>
        <v>0.49508205870890187</v>
      </c>
      <c r="L44">
        <f t="shared" si="3"/>
        <v>0.49508205870890187</v>
      </c>
      <c r="M44">
        <f t="shared" si="4"/>
        <v>72.324631845091233</v>
      </c>
      <c r="N44">
        <f t="shared" si="5"/>
        <v>31.410188516007324</v>
      </c>
      <c r="P44">
        <f t="shared" si="6"/>
        <v>-3.2649934220494914</v>
      </c>
      <c r="Q44">
        <f t="shared" si="7"/>
        <v>-4.5094327146883311</v>
      </c>
      <c r="R44">
        <f t="shared" si="8"/>
        <v>-37.53067361011432</v>
      </c>
      <c r="T44">
        <f t="shared" si="9"/>
        <v>-45.305099746852143</v>
      </c>
      <c r="V44" s="7">
        <f t="shared" si="10"/>
        <v>2.1098188970636259E-20</v>
      </c>
      <c r="W44">
        <f t="shared" si="11"/>
        <v>262.6760563380281</v>
      </c>
      <c r="Z44" s="7">
        <f t="shared" si="12"/>
        <v>226.9053885791825</v>
      </c>
      <c r="AA44" s="7">
        <f t="shared" si="13"/>
        <v>1279.5406719137163</v>
      </c>
    </row>
    <row r="45" spans="7:27">
      <c r="G45">
        <f t="shared" si="14"/>
        <v>1.4300000000000004</v>
      </c>
      <c r="I45">
        <f t="shared" si="0"/>
        <v>9.8212755972472507</v>
      </c>
      <c r="J45">
        <f t="shared" si="1"/>
        <v>0.98887882859581278</v>
      </c>
      <c r="K45">
        <f t="shared" si="2"/>
        <v>0.49951424623968088</v>
      </c>
      <c r="L45">
        <f t="shared" si="3"/>
        <v>0.49951424623968088</v>
      </c>
      <c r="M45">
        <f t="shared" si="4"/>
        <v>73.783204361053265</v>
      </c>
      <c r="N45">
        <f t="shared" si="5"/>
        <v>32.043638511145375</v>
      </c>
      <c r="P45">
        <f t="shared" si="6"/>
        <v>-3.2649934220494914</v>
      </c>
      <c r="Q45">
        <f t="shared" si="7"/>
        <v>-4.7248225705003968</v>
      </c>
      <c r="R45">
        <f t="shared" si="8"/>
        <v>-38.287555569092028</v>
      </c>
      <c r="T45">
        <f t="shared" si="9"/>
        <v>-46.277371561641914</v>
      </c>
      <c r="V45" s="7">
        <f t="shared" si="10"/>
        <v>7.9798163006896056E-21</v>
      </c>
      <c r="W45">
        <f t="shared" si="11"/>
        <v>260.8391608391608</v>
      </c>
      <c r="Z45" s="7">
        <f t="shared" si="12"/>
        <v>223.52868856641763</v>
      </c>
      <c r="AA45" s="7">
        <f t="shared" si="13"/>
        <v>1392.0713412151367</v>
      </c>
    </row>
    <row r="46" spans="7:27">
      <c r="G46">
        <f t="shared" si="14"/>
        <v>1.4400000000000004</v>
      </c>
      <c r="I46">
        <f t="shared" si="0"/>
        <v>10.26899677687193</v>
      </c>
      <c r="J46">
        <f t="shared" si="1"/>
        <v>0.99034896260739658</v>
      </c>
      <c r="K46">
        <f t="shared" si="2"/>
        <v>0.50388487561031026</v>
      </c>
      <c r="L46">
        <f t="shared" si="3"/>
        <v>0.50388487561031026</v>
      </c>
      <c r="M46">
        <f t="shared" si="4"/>
        <v>75.24177687701534</v>
      </c>
      <c r="N46">
        <f t="shared" si="5"/>
        <v>32.677088506283447</v>
      </c>
      <c r="P46">
        <f t="shared" si="6"/>
        <v>-3.2649934220494914</v>
      </c>
      <c r="Q46">
        <f t="shared" si="7"/>
        <v>-4.9402124263124731</v>
      </c>
      <c r="R46">
        <f t="shared" si="8"/>
        <v>-39.044437528069757</v>
      </c>
      <c r="T46">
        <f t="shared" si="9"/>
        <v>-47.24964337643172</v>
      </c>
      <c r="V46" s="7">
        <f t="shared" si="10"/>
        <v>3.0181485378376986E-21</v>
      </c>
      <c r="W46">
        <f t="shared" si="11"/>
        <v>259.02777777777771</v>
      </c>
      <c r="Z46" s="7">
        <f t="shared" si="12"/>
        <v>220.15198855365264</v>
      </c>
      <c r="AA46" s="7">
        <f t="shared" si="13"/>
        <v>1511.326987798599</v>
      </c>
    </row>
    <row r="47" spans="7:27">
      <c r="G47">
        <f t="shared" si="14"/>
        <v>1.4500000000000004</v>
      </c>
      <c r="I47">
        <f t="shared" si="0"/>
        <v>10.716717956496595</v>
      </c>
      <c r="J47">
        <f t="shared" si="1"/>
        <v>0.99162640174952543</v>
      </c>
      <c r="K47">
        <f t="shared" si="2"/>
        <v>0.50819522043789656</v>
      </c>
      <c r="L47">
        <f t="shared" si="3"/>
        <v>0.50819522043789656</v>
      </c>
      <c r="M47">
        <f t="shared" si="4"/>
        <v>76.700349392977401</v>
      </c>
      <c r="N47">
        <f t="shared" si="5"/>
        <v>33.310538501421512</v>
      </c>
      <c r="P47">
        <f t="shared" si="6"/>
        <v>-3.2649934220494914</v>
      </c>
      <c r="Q47">
        <f t="shared" si="7"/>
        <v>-5.1556022821245424</v>
      </c>
      <c r="R47">
        <f t="shared" si="8"/>
        <v>-39.801319487047486</v>
      </c>
      <c r="T47">
        <f t="shared" si="9"/>
        <v>-48.22191519122152</v>
      </c>
      <c r="V47" s="7">
        <f t="shared" si="10"/>
        <v>1.1415326184469553E-21</v>
      </c>
      <c r="W47">
        <f t="shared" si="11"/>
        <v>257.24137931034477</v>
      </c>
      <c r="Z47" s="7">
        <f t="shared" si="12"/>
        <v>216.77528854088766</v>
      </c>
      <c r="AA47" s="7">
        <f t="shared" si="13"/>
        <v>1637.5045021619419</v>
      </c>
    </row>
    <row r="48" spans="7:27">
      <c r="G48">
        <f t="shared" si="14"/>
        <v>1.4600000000000004</v>
      </c>
      <c r="I48">
        <f t="shared" si="0"/>
        <v>11.16443913612126</v>
      </c>
      <c r="J48">
        <f t="shared" si="1"/>
        <v>0.99273599557008463</v>
      </c>
      <c r="K48">
        <f t="shared" si="2"/>
        <v>0.51244651944592667</v>
      </c>
      <c r="L48">
        <f t="shared" si="3"/>
        <v>0.51244651944592667</v>
      </c>
      <c r="M48">
        <f t="shared" si="4"/>
        <v>78.158921908939433</v>
      </c>
      <c r="N48">
        <f t="shared" si="5"/>
        <v>33.94398849655957</v>
      </c>
      <c r="P48">
        <f t="shared" si="6"/>
        <v>-3.2649934220494914</v>
      </c>
      <c r="Q48">
        <f t="shared" si="7"/>
        <v>-5.3709921379366117</v>
      </c>
      <c r="R48">
        <f t="shared" si="8"/>
        <v>-40.558201446025194</v>
      </c>
      <c r="T48">
        <f t="shared" si="9"/>
        <v>-49.194187006011298</v>
      </c>
      <c r="V48" s="7">
        <f t="shared" si="10"/>
        <v>4.3175367369823729E-22</v>
      </c>
      <c r="W48">
        <f t="shared" si="11"/>
        <v>255.47945205479445</v>
      </c>
      <c r="Z48" s="7">
        <f t="shared" si="12"/>
        <v>213.39858852812276</v>
      </c>
      <c r="AA48" s="7">
        <f t="shared" si="13"/>
        <v>1770.7990751503678</v>
      </c>
    </row>
    <row r="49" spans="7:27">
      <c r="G49">
        <f t="shared" si="14"/>
        <v>1.4700000000000004</v>
      </c>
      <c r="I49">
        <f t="shared" si="0"/>
        <v>11.612160315745925</v>
      </c>
      <c r="J49">
        <f t="shared" si="1"/>
        <v>0.99369949021939397</v>
      </c>
      <c r="K49">
        <f t="shared" si="2"/>
        <v>0.51663997765112668</v>
      </c>
      <c r="L49">
        <f t="shared" si="3"/>
        <v>0.51663997765112668</v>
      </c>
      <c r="M49">
        <f t="shared" si="4"/>
        <v>79.617494424901494</v>
      </c>
      <c r="N49">
        <f t="shared" si="5"/>
        <v>34.577438491697635</v>
      </c>
      <c r="P49">
        <f t="shared" si="6"/>
        <v>-3.2649934220494914</v>
      </c>
      <c r="Q49">
        <f t="shared" si="7"/>
        <v>-5.5863819937486809</v>
      </c>
      <c r="R49">
        <f t="shared" si="8"/>
        <v>-41.315083405002916</v>
      </c>
      <c r="T49">
        <f t="shared" si="9"/>
        <v>-50.16645882080109</v>
      </c>
      <c r="V49" s="7">
        <f t="shared" si="10"/>
        <v>1.63299087331847E-22</v>
      </c>
      <c r="W49">
        <f t="shared" si="11"/>
        <v>253.74149659863937</v>
      </c>
      <c r="Z49" s="7">
        <f t="shared" si="12"/>
        <v>210.02188851535783</v>
      </c>
      <c r="AA49" s="7">
        <f t="shared" si="13"/>
        <v>1911.4041309557367</v>
      </c>
    </row>
    <row r="50" spans="7:27">
      <c r="G50">
        <f t="shared" si="14"/>
        <v>1.4800000000000004</v>
      </c>
      <c r="I50">
        <f t="shared" si="0"/>
        <v>12.05988149537059</v>
      </c>
      <c r="J50">
        <f t="shared" si="1"/>
        <v>0.99453589073216819</v>
      </c>
      <c r="K50">
        <f t="shared" si="2"/>
        <v>0.52077676750220225</v>
      </c>
      <c r="L50">
        <f t="shared" si="3"/>
        <v>0.52077676750220225</v>
      </c>
      <c r="M50">
        <f t="shared" si="4"/>
        <v>81.076066940863541</v>
      </c>
      <c r="N50">
        <f t="shared" si="5"/>
        <v>35.210888486835692</v>
      </c>
      <c r="P50">
        <f t="shared" si="6"/>
        <v>-3.2649934220494914</v>
      </c>
      <c r="Q50">
        <f t="shared" si="7"/>
        <v>-5.8017718495607502</v>
      </c>
      <c r="R50">
        <f t="shared" si="8"/>
        <v>-42.071965363980638</v>
      </c>
      <c r="T50">
        <f t="shared" si="9"/>
        <v>-51.138730635590882</v>
      </c>
      <c r="V50" s="7">
        <f t="shared" si="10"/>
        <v>6.176343954412325E-23</v>
      </c>
      <c r="W50">
        <f t="shared" si="11"/>
        <v>252.02702702702695</v>
      </c>
      <c r="Z50" s="7">
        <f t="shared" si="12"/>
        <v>206.64518850259287</v>
      </c>
      <c r="AA50" s="7">
        <f t="shared" si="13"/>
        <v>2059.5112678578084</v>
      </c>
    </row>
    <row r="51" spans="7:27">
      <c r="G51">
        <f t="shared" si="14"/>
        <v>1.4900000000000004</v>
      </c>
      <c r="I51">
        <f t="shared" si="0"/>
        <v>12.507602674995255</v>
      </c>
      <c r="J51">
        <f t="shared" si="1"/>
        <v>0.99526178747083049</v>
      </c>
      <c r="K51">
        <f t="shared" si="2"/>
        <v>0.52485802997272646</v>
      </c>
      <c r="L51">
        <f t="shared" si="3"/>
        <v>0.52485802997272646</v>
      </c>
      <c r="M51">
        <f t="shared" si="4"/>
        <v>82.534639456825587</v>
      </c>
      <c r="N51">
        <f t="shared" si="5"/>
        <v>35.84433848197375</v>
      </c>
      <c r="P51">
        <f t="shared" si="6"/>
        <v>-3.2649934220494914</v>
      </c>
      <c r="Q51">
        <f t="shared" si="7"/>
        <v>-6.0171617053728195</v>
      </c>
      <c r="R51">
        <f t="shared" si="8"/>
        <v>-42.828847322958353</v>
      </c>
      <c r="T51">
        <f t="shared" si="9"/>
        <v>-52.111002450380667</v>
      </c>
      <c r="V51" s="7">
        <f t="shared" si="10"/>
        <v>2.3360341607840924E-23</v>
      </c>
      <c r="W51">
        <f t="shared" si="11"/>
        <v>250.3355704697986</v>
      </c>
      <c r="Z51" s="7">
        <f t="shared" si="12"/>
        <v>203.26848848982794</v>
      </c>
      <c r="AA51" s="7">
        <f t="shared" si="13"/>
        <v>2215.3102061092782</v>
      </c>
    </row>
    <row r="52" spans="7:27">
      <c r="G52">
        <f t="shared" si="14"/>
        <v>1.5000000000000004</v>
      </c>
      <c r="I52">
        <f t="shared" si="0"/>
        <v>12.95532385461992</v>
      </c>
      <c r="J52">
        <f t="shared" si="1"/>
        <v>0.99589164854141043</v>
      </c>
      <c r="K52">
        <f t="shared" si="2"/>
        <v>0.52888487561031028</v>
      </c>
      <c r="L52">
        <f t="shared" si="3"/>
        <v>0.52888487561031028</v>
      </c>
      <c r="M52">
        <f t="shared" si="4"/>
        <v>83.993211972787634</v>
      </c>
      <c r="N52">
        <f t="shared" si="5"/>
        <v>36.477788477111808</v>
      </c>
      <c r="P52">
        <f t="shared" si="6"/>
        <v>-3.2649934220494914</v>
      </c>
      <c r="Q52">
        <f t="shared" si="7"/>
        <v>-6.2325515611848887</v>
      </c>
      <c r="R52">
        <f t="shared" si="8"/>
        <v>-43.585729281936068</v>
      </c>
      <c r="T52">
        <f t="shared" si="9"/>
        <v>-53.083274265170445</v>
      </c>
      <c r="V52" s="7">
        <f t="shared" si="10"/>
        <v>8.835414025884691E-24</v>
      </c>
      <c r="W52">
        <f t="shared" si="11"/>
        <v>248.6666666666666</v>
      </c>
      <c r="Z52" s="7">
        <f t="shared" si="12"/>
        <v>199.89178847706305</v>
      </c>
      <c r="AA52" s="7">
        <f t="shared" si="13"/>
        <v>2378.9887424106646</v>
      </c>
    </row>
    <row r="53" spans="7:27">
      <c r="G53">
        <f t="shared" si="14"/>
        <v>1.5100000000000005</v>
      </c>
      <c r="I53">
        <f t="shared" si="0"/>
        <v>13.403045034244585</v>
      </c>
      <c r="J53">
        <f t="shared" si="1"/>
        <v>0.99643808044204085</v>
      </c>
      <c r="K53">
        <f t="shared" si="2"/>
        <v>0.53285838554408516</v>
      </c>
      <c r="L53">
        <f t="shared" si="3"/>
        <v>0.53285838554408516</v>
      </c>
      <c r="M53">
        <f t="shared" si="4"/>
        <v>85.451784488749681</v>
      </c>
      <c r="N53">
        <f t="shared" si="5"/>
        <v>37.111238472249873</v>
      </c>
      <c r="P53">
        <f t="shared" si="6"/>
        <v>-3.2649934220494914</v>
      </c>
      <c r="Q53">
        <f t="shared" si="7"/>
        <v>-6.447941416996958</v>
      </c>
      <c r="R53">
        <f t="shared" si="8"/>
        <v>-44.34261124091379</v>
      </c>
      <c r="T53">
        <f t="shared" si="9"/>
        <v>-54.055546079960237</v>
      </c>
      <c r="V53" s="7">
        <f t="shared" si="10"/>
        <v>3.3417551129730219E-24</v>
      </c>
      <c r="W53">
        <f t="shared" si="11"/>
        <v>247.01986754966879</v>
      </c>
      <c r="Z53" s="7">
        <f t="shared" si="12"/>
        <v>196.51508846429812</v>
      </c>
      <c r="AA53" s="7">
        <f t="shared" si="13"/>
        <v>2550.7327104620949</v>
      </c>
    </row>
    <row r="54" spans="7:27">
      <c r="G54">
        <f t="shared" si="14"/>
        <v>1.5200000000000005</v>
      </c>
      <c r="I54">
        <f t="shared" si="0"/>
        <v>13.85076621386925</v>
      </c>
      <c r="J54">
        <f t="shared" si="1"/>
        <v>0.99691205943790762</v>
      </c>
      <c r="K54">
        <f t="shared" si="2"/>
        <v>0.53677961245241557</v>
      </c>
      <c r="L54">
        <f t="shared" si="3"/>
        <v>0.53677961245241557</v>
      </c>
      <c r="M54">
        <f t="shared" si="4"/>
        <v>86.910357004711727</v>
      </c>
      <c r="N54">
        <f t="shared" si="5"/>
        <v>37.744688467387931</v>
      </c>
      <c r="P54">
        <f t="shared" si="6"/>
        <v>-3.2649934220494914</v>
      </c>
      <c r="Q54">
        <f t="shared" si="7"/>
        <v>-6.6633312728090273</v>
      </c>
      <c r="R54">
        <f t="shared" si="8"/>
        <v>-45.099493199891505</v>
      </c>
      <c r="T54">
        <f t="shared" si="9"/>
        <v>-55.027817894750022</v>
      </c>
      <c r="V54" s="7">
        <f t="shared" si="10"/>
        <v>1.2639280063577129E-24</v>
      </c>
      <c r="W54">
        <f t="shared" si="11"/>
        <v>245.39473684210517</v>
      </c>
      <c r="Z54" s="7">
        <f t="shared" si="12"/>
        <v>193.13838845153319</v>
      </c>
      <c r="AA54" s="7">
        <f t="shared" si="13"/>
        <v>2730.7259471168354</v>
      </c>
    </row>
    <row r="55" spans="7:27">
      <c r="G55">
        <f t="shared" si="14"/>
        <v>1.5300000000000005</v>
      </c>
      <c r="I55">
        <f t="shared" si="0"/>
        <v>14.298487393493915</v>
      </c>
      <c r="J55">
        <f t="shared" si="1"/>
        <v>0.99732313623695812</v>
      </c>
      <c r="K55">
        <f t="shared" si="2"/>
        <v>0.54064958149266329</v>
      </c>
      <c r="L55">
        <f t="shared" si="3"/>
        <v>0.54064958149266329</v>
      </c>
      <c r="M55">
        <f t="shared" si="4"/>
        <v>88.368929520673774</v>
      </c>
      <c r="N55">
        <f t="shared" si="5"/>
        <v>38.378138462525989</v>
      </c>
      <c r="P55">
        <f t="shared" si="6"/>
        <v>-3.2649934220494914</v>
      </c>
      <c r="Q55">
        <f t="shared" si="7"/>
        <v>-6.8787211286210965</v>
      </c>
      <c r="R55">
        <f t="shared" si="8"/>
        <v>-45.85637515886922</v>
      </c>
      <c r="T55">
        <f t="shared" si="9"/>
        <v>-56.000089709539807</v>
      </c>
      <c r="V55" s="7">
        <f t="shared" si="10"/>
        <v>4.7804640114222511E-25</v>
      </c>
      <c r="W55">
        <f t="shared" si="11"/>
        <v>243.79084967320253</v>
      </c>
      <c r="Z55" s="7">
        <f t="shared" si="12"/>
        <v>189.76168843876826</v>
      </c>
      <c r="AA55" s="7">
        <f t="shared" si="13"/>
        <v>2919.1502636964947</v>
      </c>
    </row>
    <row r="56" spans="7:27">
      <c r="G56">
        <f t="shared" si="14"/>
        <v>1.5400000000000005</v>
      </c>
      <c r="I56">
        <f t="shared" si="0"/>
        <v>14.746208573118579</v>
      </c>
      <c r="J56">
        <f t="shared" si="1"/>
        <v>0.99767961651487258</v>
      </c>
      <c r="K56">
        <f t="shared" si="2"/>
        <v>0.54446929119472598</v>
      </c>
      <c r="L56">
        <f t="shared" si="3"/>
        <v>0.54446929119472598</v>
      </c>
      <c r="M56">
        <f t="shared" si="4"/>
        <v>89.827502036635835</v>
      </c>
      <c r="N56">
        <f t="shared" si="5"/>
        <v>39.011588457664054</v>
      </c>
      <c r="P56">
        <f t="shared" si="6"/>
        <v>-3.2649934220494914</v>
      </c>
      <c r="Q56">
        <f t="shared" si="7"/>
        <v>-7.0941109844331658</v>
      </c>
      <c r="R56">
        <f t="shared" si="8"/>
        <v>-46.613257117846942</v>
      </c>
      <c r="T56">
        <f t="shared" si="9"/>
        <v>-56.9723615243296</v>
      </c>
      <c r="V56" s="7">
        <f t="shared" si="10"/>
        <v>1.8080805274944922E-25</v>
      </c>
      <c r="W56">
        <f t="shared" si="11"/>
        <v>242.20779220779212</v>
      </c>
      <c r="Z56" s="7">
        <f t="shared" si="12"/>
        <v>186.3849884260033</v>
      </c>
      <c r="AA56" s="7">
        <f t="shared" si="13"/>
        <v>3116.1854220600962</v>
      </c>
    </row>
    <row r="57" spans="7:27">
      <c r="G57">
        <f t="shared" si="14"/>
        <v>1.5500000000000005</v>
      </c>
      <c r="I57">
        <f t="shared" si="0"/>
        <v>15.193929752743244</v>
      </c>
      <c r="J57">
        <f t="shared" si="1"/>
        <v>0.99798871974116943</v>
      </c>
      <c r="K57">
        <f t="shared" si="2"/>
        <v>0.54823971431998775</v>
      </c>
      <c r="L57">
        <f t="shared" si="3"/>
        <v>0.54823971431998775</v>
      </c>
      <c r="M57">
        <f t="shared" si="4"/>
        <v>91.286074552597867</v>
      </c>
      <c r="N57">
        <f t="shared" si="5"/>
        <v>39.645038452802105</v>
      </c>
      <c r="P57">
        <f t="shared" si="6"/>
        <v>-3.2649934220494914</v>
      </c>
      <c r="Q57">
        <f t="shared" si="7"/>
        <v>-7.3095008402452342</v>
      </c>
      <c r="R57">
        <f t="shared" si="8"/>
        <v>-47.370139076824657</v>
      </c>
      <c r="T57">
        <f t="shared" si="9"/>
        <v>-57.944633339119385</v>
      </c>
      <c r="V57" s="7">
        <f t="shared" si="10"/>
        <v>6.8385729629876827E-26</v>
      </c>
      <c r="W57">
        <f t="shared" si="11"/>
        <v>240.64516129032251</v>
      </c>
      <c r="Z57" s="7">
        <f t="shared" si="12"/>
        <v>183.00828841323838</v>
      </c>
      <c r="AA57" s="7">
        <f t="shared" si="13"/>
        <v>3322.0091150491562</v>
      </c>
    </row>
    <row r="58" spans="7:27">
      <c r="G58">
        <f t="shared" si="14"/>
        <v>1.5600000000000005</v>
      </c>
      <c r="I58">
        <f t="shared" si="0"/>
        <v>15.641650932367909</v>
      </c>
      <c r="J58">
        <f t="shared" si="1"/>
        <v>0.99825671861714926</v>
      </c>
      <c r="K58">
        <f t="shared" si="2"/>
        <v>0.55196179868723338</v>
      </c>
      <c r="L58">
        <f t="shared" si="3"/>
        <v>0.55196179868723338</v>
      </c>
      <c r="M58">
        <f t="shared" si="4"/>
        <v>92.744647068559914</v>
      </c>
      <c r="N58">
        <f t="shared" si="5"/>
        <v>40.27848844794017</v>
      </c>
      <c r="P58">
        <f t="shared" si="6"/>
        <v>-3.2649934220494914</v>
      </c>
      <c r="Q58">
        <f t="shared" si="7"/>
        <v>-7.5248906960573034</v>
      </c>
      <c r="R58">
        <f t="shared" si="8"/>
        <v>-48.127021035802372</v>
      </c>
      <c r="T58">
        <f t="shared" si="9"/>
        <v>-58.91690515390917</v>
      </c>
      <c r="V58" s="7">
        <f t="shared" si="10"/>
        <v>2.5865042767155509E-26</v>
      </c>
      <c r="W58">
        <f t="shared" si="11"/>
        <v>239.10256410256403</v>
      </c>
      <c r="Z58" s="7">
        <f t="shared" si="12"/>
        <v>179.63158840047348</v>
      </c>
      <c r="AA58" s="7">
        <f t="shared" si="13"/>
        <v>3536.7969509586451</v>
      </c>
    </row>
    <row r="59" spans="7:27">
      <c r="G59">
        <f t="shared" si="14"/>
        <v>1.5700000000000005</v>
      </c>
      <c r="I59">
        <f t="shared" si="0"/>
        <v>16.089372111992574</v>
      </c>
      <c r="J59">
        <f t="shared" si="1"/>
        <v>0.99848906126980896</v>
      </c>
      <c r="K59">
        <f t="shared" si="2"/>
        <v>0.55563646796699828</v>
      </c>
      <c r="L59">
        <f t="shared" si="3"/>
        <v>0.55563646796699828</v>
      </c>
      <c r="M59">
        <f t="shared" si="4"/>
        <v>94.203219584521975</v>
      </c>
      <c r="N59">
        <f t="shared" si="5"/>
        <v>40.911938443078235</v>
      </c>
      <c r="P59">
        <f t="shared" si="6"/>
        <v>-3.2649934220494914</v>
      </c>
      <c r="Q59">
        <f t="shared" si="7"/>
        <v>-7.7402805518693727</v>
      </c>
      <c r="R59">
        <f t="shared" si="8"/>
        <v>-48.883902994780094</v>
      </c>
      <c r="T59">
        <f t="shared" si="9"/>
        <v>-59.889176968698962</v>
      </c>
      <c r="V59" s="7">
        <f t="shared" si="10"/>
        <v>9.7827491344700248E-27</v>
      </c>
      <c r="W59">
        <f t="shared" si="11"/>
        <v>237.57961783439484</v>
      </c>
      <c r="Z59" s="7">
        <f t="shared" si="12"/>
        <v>176.25488838770852</v>
      </c>
      <c r="AA59" s="7">
        <f t="shared" si="13"/>
        <v>3760.7224417092762</v>
      </c>
    </row>
    <row r="60" spans="7:27">
      <c r="G60">
        <f t="shared" si="14"/>
        <v>1.5800000000000005</v>
      </c>
      <c r="I60">
        <f t="shared" si="0"/>
        <v>16.537093291617239</v>
      </c>
      <c r="J60">
        <f t="shared" si="1"/>
        <v>0.99869047816758783</v>
      </c>
      <c r="K60">
        <f t="shared" si="2"/>
        <v>0.55926462244575337</v>
      </c>
      <c r="L60">
        <f t="shared" si="3"/>
        <v>0.55926462244575337</v>
      </c>
      <c r="M60">
        <f t="shared" si="4"/>
        <v>95.661792100484021</v>
      </c>
      <c r="N60">
        <f t="shared" si="5"/>
        <v>41.545388438216293</v>
      </c>
      <c r="P60">
        <f t="shared" si="6"/>
        <v>-3.2649934220494914</v>
      </c>
      <c r="Q60">
        <f t="shared" si="7"/>
        <v>-7.955670407681442</v>
      </c>
      <c r="R60">
        <f t="shared" si="8"/>
        <v>-49.640784953757816</v>
      </c>
      <c r="T60">
        <f t="shared" si="9"/>
        <v>-60.861448783488747</v>
      </c>
      <c r="V60" s="7">
        <f t="shared" si="10"/>
        <v>3.7000588589592924E-27</v>
      </c>
      <c r="W60">
        <f t="shared" si="11"/>
        <v>236.07594936708853</v>
      </c>
      <c r="Z60" s="7">
        <f t="shared" si="12"/>
        <v>172.87818837494359</v>
      </c>
      <c r="AA60" s="7">
        <f t="shared" si="13"/>
        <v>3993.9569944202763</v>
      </c>
    </row>
    <row r="61" spans="7:27">
      <c r="G61">
        <f t="shared" si="14"/>
        <v>1.5900000000000005</v>
      </c>
      <c r="I61">
        <f t="shared" si="0"/>
        <v>16.984814471241904</v>
      </c>
      <c r="J61">
        <f t="shared" si="1"/>
        <v>0.99886507554334147</v>
      </c>
      <c r="K61">
        <f t="shared" si="2"/>
        <v>0.56284713976125378</v>
      </c>
      <c r="L61">
        <f t="shared" si="3"/>
        <v>0.56284713976125378</v>
      </c>
      <c r="M61">
        <f t="shared" si="4"/>
        <v>97.120364616446068</v>
      </c>
      <c r="N61">
        <f t="shared" si="5"/>
        <v>42.17883843335435</v>
      </c>
      <c r="P61">
        <f t="shared" si="6"/>
        <v>-3.2649934220494914</v>
      </c>
      <c r="Q61">
        <f t="shared" si="7"/>
        <v>-8.1710602634935121</v>
      </c>
      <c r="R61">
        <f t="shared" si="8"/>
        <v>-50.397666912735531</v>
      </c>
      <c r="T61">
        <f t="shared" si="9"/>
        <v>-61.833720598278532</v>
      </c>
      <c r="V61" s="7">
        <f t="shared" si="10"/>
        <v>1.3994466556976485E-27</v>
      </c>
      <c r="W61">
        <f t="shared" si="11"/>
        <v>234.5911949685534</v>
      </c>
      <c r="Z61" s="7">
        <f t="shared" si="12"/>
        <v>169.50148836217866</v>
      </c>
      <c r="AA61" s="7">
        <f t="shared" si="13"/>
        <v>4236.6699061039426</v>
      </c>
    </row>
    <row r="62" spans="7:27">
      <c r="G62">
        <f t="shared" si="14"/>
        <v>1.6000000000000005</v>
      </c>
      <c r="I62">
        <f t="shared" si="0"/>
        <v>17.432535650866569</v>
      </c>
      <c r="J62">
        <f t="shared" si="1"/>
        <v>0.99901641693376964</v>
      </c>
      <c r="K62">
        <f t="shared" si="2"/>
        <v>0.56638487561031037</v>
      </c>
      <c r="L62">
        <f t="shared" si="3"/>
        <v>0.56638487561031037</v>
      </c>
      <c r="M62">
        <f t="shared" si="4"/>
        <v>98.578937132408115</v>
      </c>
      <c r="N62">
        <f t="shared" si="5"/>
        <v>42.812288428492408</v>
      </c>
      <c r="P62">
        <f t="shared" si="6"/>
        <v>-3.2649934220494914</v>
      </c>
      <c r="Q62">
        <f t="shared" si="7"/>
        <v>-8.3864501193055805</v>
      </c>
      <c r="R62">
        <f t="shared" si="8"/>
        <v>-51.154548871713246</v>
      </c>
      <c r="T62">
        <f t="shared" si="9"/>
        <v>-62.805992413068317</v>
      </c>
      <c r="V62" s="7">
        <f t="shared" si="10"/>
        <v>5.2930264538931735E-28</v>
      </c>
      <c r="W62">
        <f t="shared" si="11"/>
        <v>233.12499999999991</v>
      </c>
      <c r="Z62" s="7">
        <f t="shared" si="12"/>
        <v>166.12478834941373</v>
      </c>
      <c r="AA62" s="7">
        <f t="shared" si="13"/>
        <v>4489.0283612233443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C65D-BE60-4723-AD03-3DDC969B27E0}">
  <dimension ref="A1:AA62"/>
  <sheetViews>
    <sheetView tabSelected="1" zoomScale="90" zoomScaleNormal="90" workbookViewId="0">
      <selection activeCell="Y10" sqref="Y10"/>
    </sheetView>
  </sheetViews>
  <sheetFormatPr defaultRowHeight="15"/>
  <cols>
    <col min="1" max="1" width="16.140625" customWidth="1"/>
    <col min="3" max="3" width="14" customWidth="1"/>
    <col min="4" max="4" width="11.140625" customWidth="1"/>
    <col min="5" max="5" width="13.28515625" customWidth="1"/>
    <col min="9" max="9" width="12.7109375" customWidth="1"/>
    <col min="13" max="13" width="13" customWidth="1"/>
    <col min="14" max="14" width="14" customWidth="1"/>
    <col min="16" max="16" width="15.28515625" customWidth="1"/>
    <col min="17" max="17" width="14.28515625" customWidth="1"/>
    <col min="25" max="25" width="18.5703125" customWidth="1"/>
  </cols>
  <sheetData>
    <row r="1" spans="1:27" ht="30">
      <c r="A1" s="4" t="s">
        <v>8</v>
      </c>
      <c r="C1" s="2" t="s">
        <v>12</v>
      </c>
      <c r="D1" s="2"/>
      <c r="E1" s="2" t="s">
        <v>20</v>
      </c>
      <c r="G1" t="s">
        <v>19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P1" t="s">
        <v>18</v>
      </c>
      <c r="Q1" t="s">
        <v>36</v>
      </c>
      <c r="R1" t="s">
        <v>37</v>
      </c>
      <c r="T1" t="s">
        <v>38</v>
      </c>
      <c r="V1" t="s">
        <v>2</v>
      </c>
      <c r="W1" t="s">
        <v>3</v>
      </c>
      <c r="Y1" s="2" t="s">
        <v>46</v>
      </c>
      <c r="Z1" t="s">
        <v>39</v>
      </c>
      <c r="AA1" t="s">
        <v>43</v>
      </c>
    </row>
    <row r="2" spans="1:27">
      <c r="A2" s="5"/>
      <c r="C2" s="2"/>
      <c r="E2" s="7">
        <f>POWER(10,6.42)</f>
        <v>2630267.9918953842</v>
      </c>
      <c r="G2">
        <f>1</f>
        <v>1</v>
      </c>
      <c r="I2">
        <f>LN(10)*$C$19 + $A$7*$C$22*G2</f>
        <v>-13.876616492400188</v>
      </c>
      <c r="J2">
        <f>1/(1 + EXP($A$4*(1 - $C$22*G2)))</f>
        <v>0.20238913727616745</v>
      </c>
      <c r="K2">
        <f>$E$14 + $C$10*(1/$E$11 - 1/G2)</f>
        <v>0.29056297174135753</v>
      </c>
      <c r="L2">
        <f>MIN(J2,K2)</f>
        <v>0.20238913727616745</v>
      </c>
      <c r="M2">
        <f>I2 + $A$10*$C$22*G2*L2</f>
        <v>4.6275332014208352</v>
      </c>
      <c r="N2">
        <f>M2/LN(10)</f>
        <v>2.0097121342011577</v>
      </c>
      <c r="P2">
        <f>LN(2*$C$16/PI())</f>
        <v>-3.2649934220494914</v>
      </c>
      <c r="Q2">
        <f>-0.5*$A$13*$C$13*I2</f>
        <v>12.263790193146406</v>
      </c>
      <c r="R2">
        <f>-(1 - 0.5*$A$13*$C$13)*M2</f>
        <v>-0.53784056452155016</v>
      </c>
      <c r="T2">
        <f>P2 + Q2 + R2</f>
        <v>8.4609562065753643</v>
      </c>
      <c r="V2" s="7">
        <f>EXP(T2)</f>
        <v>4726.575419991188</v>
      </c>
      <c r="W2">
        <f>$C$7/G2</f>
        <v>350</v>
      </c>
      <c r="Z2" s="7">
        <f>$Y$4*LN(V2) + $Y$7</f>
        <v>327.83437738626139</v>
      </c>
      <c r="AA2" s="7">
        <f>(Z2 - W2)^2</f>
        <v>491.31482585468024</v>
      </c>
    </row>
    <row r="3" spans="1:27">
      <c r="A3" s="6" t="s">
        <v>9</v>
      </c>
      <c r="C3" t="s">
        <v>22</v>
      </c>
      <c r="G3">
        <f>G2+0.01</f>
        <v>1.01</v>
      </c>
      <c r="I3">
        <f t="shared" ref="I3:I62" si="0">LN(10)*$C$19 + $A$7*$C$22*G3</f>
        <v>-13.419473635257333</v>
      </c>
      <c r="J3">
        <f t="shared" ref="J3:J62" si="1">1/(1 + EXP($A$4*(1 - $C$22*G3)))</f>
        <v>0.22703266979185377</v>
      </c>
      <c r="K3">
        <f t="shared" ref="K3:K62" si="2">$E$14 + $C$10*(1/$E$11 - 1/G3)</f>
        <v>0.29947386283046645</v>
      </c>
      <c r="L3">
        <f t="shared" ref="L3:L62" si="3">MIN(J3,K3)</f>
        <v>0.22703266979185377</v>
      </c>
      <c r="M3">
        <f t="shared" ref="M3:M62" si="4">I3 + $A$10*$C$22*G3*L3</f>
        <v>7.5453717580932782</v>
      </c>
      <c r="N3">
        <f t="shared" ref="N3:N62" si="5">M3/LN(10)</f>
        <v>3.2769133184485484</v>
      </c>
      <c r="P3">
        <f t="shared" ref="P3:P62" si="6">LN(2*$C$16/PI())</f>
        <v>-3.2649934220494914</v>
      </c>
      <c r="Q3">
        <f t="shared" ref="Q3:Q62" si="7">-0.5*$A$13*$C$13*I3</f>
        <v>11.859779309703322</v>
      </c>
      <c r="R3">
        <f t="shared" ref="R3:R62" si="8">-(1 - 0.5*$A$13*$C$13)*M3</f>
        <v>-0.87696983020063923</v>
      </c>
      <c r="T3">
        <f t="shared" ref="T3:T62" si="9">P3 + Q3 + R3</f>
        <v>7.7178160574531915</v>
      </c>
      <c r="V3" s="7">
        <f t="shared" ref="V3:V62" si="10">EXP(T3)</f>
        <v>2248.0446152389682</v>
      </c>
      <c r="W3">
        <f t="shared" ref="W3:W62" si="11">$C$7/G3</f>
        <v>346.53465346534654</v>
      </c>
      <c r="Y3" t="s">
        <v>41</v>
      </c>
      <c r="Z3" s="7">
        <f t="shared" ref="Z3:Z62" si="12">$Y$4*LN(V3) + $Y$7</f>
        <v>325.56705679128964</v>
      </c>
      <c r="AA3" s="7">
        <f t="shared" ref="AA3:AA62" si="13">(Z3 - W3)^2</f>
        <v>439.64011028592165</v>
      </c>
    </row>
    <row r="4" spans="1:27">
      <c r="A4" s="5">
        <v>16</v>
      </c>
      <c r="C4" s="8" t="s">
        <v>6</v>
      </c>
      <c r="E4" t="s">
        <v>24</v>
      </c>
      <c r="G4">
        <f t="shared" ref="G4:G62" si="14">G3+0.01</f>
        <v>1.02</v>
      </c>
      <c r="I4">
        <f t="shared" si="0"/>
        <v>-12.96233077811447</v>
      </c>
      <c r="J4">
        <f t="shared" si="1"/>
        <v>0.25372235268645588</v>
      </c>
      <c r="K4">
        <f t="shared" si="2"/>
        <v>0.30821003056488699</v>
      </c>
      <c r="L4">
        <f t="shared" si="3"/>
        <v>0.25372235268645588</v>
      </c>
      <c r="M4">
        <f t="shared" si="4"/>
        <v>10.699090912416732</v>
      </c>
      <c r="N4">
        <f t="shared" si="5"/>
        <v>4.6465561446438146</v>
      </c>
      <c r="P4">
        <f t="shared" si="6"/>
        <v>-3.2649934220494914</v>
      </c>
      <c r="Q4">
        <f t="shared" si="7"/>
        <v>11.455768426260232</v>
      </c>
      <c r="R4">
        <f t="shared" si="8"/>
        <v>-1.2435145996218404</v>
      </c>
      <c r="T4">
        <f t="shared" si="9"/>
        <v>6.9472604045889002</v>
      </c>
      <c r="V4" s="7">
        <f t="shared" si="10"/>
        <v>1040.2958310186398</v>
      </c>
      <c r="W4">
        <f t="shared" si="11"/>
        <v>343.13725490196077</v>
      </c>
      <c r="Y4">
        <v>3.0510000000000002</v>
      </c>
      <c r="Z4" s="7">
        <f t="shared" si="12"/>
        <v>323.2160914944007</v>
      </c>
      <c r="AA4" s="7">
        <f t="shared" si="13"/>
        <v>396.85275151071045</v>
      </c>
    </row>
    <row r="5" spans="1:27">
      <c r="A5" s="5"/>
      <c r="E5">
        <f>LN(E2/POWER(10,C19))</f>
        <v>74.37349850370768</v>
      </c>
      <c r="G5">
        <f t="shared" si="14"/>
        <v>1.03</v>
      </c>
      <c r="I5">
        <f t="shared" si="0"/>
        <v>-12.505187920971615</v>
      </c>
      <c r="J5">
        <f t="shared" si="1"/>
        <v>0.28240331872443919</v>
      </c>
      <c r="K5">
        <f t="shared" si="2"/>
        <v>0.31677656397436726</v>
      </c>
      <c r="L5">
        <f t="shared" si="3"/>
        <v>0.28240331872443919</v>
      </c>
      <c r="M5">
        <f t="shared" si="4"/>
        <v>14.089136036621291</v>
      </c>
      <c r="N5">
        <f t="shared" si="5"/>
        <v>6.1188340354888782</v>
      </c>
      <c r="P5">
        <f t="shared" si="6"/>
        <v>-3.2649934220494914</v>
      </c>
      <c r="Q5">
        <f t="shared" si="7"/>
        <v>11.051757542817146</v>
      </c>
      <c r="R5">
        <f t="shared" si="8"/>
        <v>-1.6375266367036883</v>
      </c>
      <c r="T5">
        <f t="shared" si="9"/>
        <v>6.149237484063967</v>
      </c>
      <c r="V5" s="7">
        <f t="shared" si="10"/>
        <v>468.36011853417642</v>
      </c>
      <c r="W5">
        <f t="shared" si="11"/>
        <v>339.80582524271841</v>
      </c>
      <c r="Z5" s="7">
        <f t="shared" si="12"/>
        <v>320.78132356387914</v>
      </c>
      <c r="AA5" s="7">
        <f t="shared" si="13"/>
        <v>361.93166412815827</v>
      </c>
    </row>
    <row r="6" spans="1:27">
      <c r="A6" s="5" t="s">
        <v>10</v>
      </c>
      <c r="C6" t="s">
        <v>13</v>
      </c>
      <c r="G6">
        <f t="shared" si="14"/>
        <v>1.04</v>
      </c>
      <c r="I6">
        <f t="shared" si="0"/>
        <v>-12.048045063828759</v>
      </c>
      <c r="J6">
        <f t="shared" si="1"/>
        <v>0.31296675445853267</v>
      </c>
      <c r="K6">
        <f t="shared" si="2"/>
        <v>0.32517835635674225</v>
      </c>
      <c r="L6">
        <f t="shared" si="3"/>
        <v>0.31296675445853267</v>
      </c>
      <c r="M6">
        <f t="shared" si="4"/>
        <v>17.710622331542577</v>
      </c>
      <c r="N6">
        <f t="shared" si="5"/>
        <v>7.6916255496614445</v>
      </c>
      <c r="P6">
        <f t="shared" si="6"/>
        <v>-3.2649934220494914</v>
      </c>
      <c r="Q6">
        <f t="shared" si="7"/>
        <v>10.647746659374061</v>
      </c>
      <c r="R6">
        <f t="shared" si="8"/>
        <v>-2.0584381998383354</v>
      </c>
      <c r="T6">
        <f t="shared" si="9"/>
        <v>5.3243150374862349</v>
      </c>
      <c r="V6" s="7">
        <f t="shared" si="10"/>
        <v>205.26771161294542</v>
      </c>
      <c r="W6">
        <f t="shared" si="11"/>
        <v>336.53846153846155</v>
      </c>
      <c r="Y6" t="s">
        <v>42</v>
      </c>
      <c r="Z6" s="7">
        <f t="shared" si="12"/>
        <v>318.26448517937047</v>
      </c>
      <c r="AA6" s="7">
        <f t="shared" si="13"/>
        <v>333.93821197261968</v>
      </c>
    </row>
    <row r="7" spans="1:27">
      <c r="A7" s="5">
        <v>50</v>
      </c>
      <c r="C7">
        <v>350</v>
      </c>
      <c r="E7" t="s">
        <v>27</v>
      </c>
      <c r="G7">
        <f t="shared" si="14"/>
        <v>1.05</v>
      </c>
      <c r="I7">
        <f t="shared" si="0"/>
        <v>-11.590902206685904</v>
      </c>
      <c r="J7">
        <f t="shared" si="1"/>
        <v>0.34524653939368066</v>
      </c>
      <c r="K7">
        <f t="shared" si="2"/>
        <v>0.33342011459850046</v>
      </c>
      <c r="L7">
        <f t="shared" si="3"/>
        <v>0.33342011459850046</v>
      </c>
      <c r="M7">
        <f t="shared" si="4"/>
        <v>20.417428794770139</v>
      </c>
      <c r="N7">
        <f t="shared" si="5"/>
        <v>8.8671766602212312</v>
      </c>
      <c r="P7">
        <f t="shared" si="6"/>
        <v>-3.2649934220494914</v>
      </c>
      <c r="Q7">
        <f t="shared" si="7"/>
        <v>10.243735775930977</v>
      </c>
      <c r="R7">
        <f t="shared" si="8"/>
        <v>-2.3730400088077221</v>
      </c>
      <c r="T7">
        <f t="shared" si="9"/>
        <v>4.6057023450737642</v>
      </c>
      <c r="V7" s="7">
        <f t="shared" si="10"/>
        <v>100.05323007074396</v>
      </c>
      <c r="W7">
        <f t="shared" si="11"/>
        <v>333.33333333333331</v>
      </c>
      <c r="Y7">
        <v>302.02</v>
      </c>
      <c r="Z7" s="7">
        <f t="shared" si="12"/>
        <v>316.07199785482004</v>
      </c>
      <c r="AA7" s="7">
        <f t="shared" si="13"/>
        <v>297.95370250178109</v>
      </c>
    </row>
    <row r="8" spans="1:27">
      <c r="A8" s="5"/>
      <c r="E8">
        <f>-3.1102 + 1.661*LN(E5) -0.1665*POWER(LN(E5),2)</f>
        <v>0.95558594877006664</v>
      </c>
      <c r="G8">
        <f t="shared" si="14"/>
        <v>1.06</v>
      </c>
      <c r="I8">
        <f t="shared" si="0"/>
        <v>-11.133759349543041</v>
      </c>
      <c r="J8">
        <f t="shared" si="1"/>
        <v>0.37901896803431556</v>
      </c>
      <c r="K8">
        <f t="shared" si="2"/>
        <v>0.34150636796777273</v>
      </c>
      <c r="L8">
        <f t="shared" si="3"/>
        <v>0.34150636796777273</v>
      </c>
      <c r="M8">
        <f t="shared" si="4"/>
        <v>21.963086368933681</v>
      </c>
      <c r="N8">
        <f t="shared" si="5"/>
        <v>9.5384472155924236</v>
      </c>
      <c r="P8">
        <f t="shared" si="6"/>
        <v>-3.2649934220494914</v>
      </c>
      <c r="Q8">
        <f t="shared" si="7"/>
        <v>9.8397248924878848</v>
      </c>
      <c r="R8">
        <f t="shared" si="8"/>
        <v>-2.5526859035124607</v>
      </c>
      <c r="T8">
        <f t="shared" si="9"/>
        <v>4.0220455669259332</v>
      </c>
      <c r="V8" s="7">
        <f t="shared" si="10"/>
        <v>55.815162782409722</v>
      </c>
      <c r="W8">
        <f t="shared" si="11"/>
        <v>330.18867924528303</v>
      </c>
      <c r="Z8" s="7">
        <f t="shared" si="12"/>
        <v>314.29126102469098</v>
      </c>
      <c r="AA8" s="7">
        <f t="shared" si="13"/>
        <v>252.72790608041191</v>
      </c>
    </row>
    <row r="9" spans="1:27">
      <c r="A9" s="5" t="s">
        <v>11</v>
      </c>
      <c r="C9" t="s">
        <v>14</v>
      </c>
      <c r="G9">
        <f t="shared" si="14"/>
        <v>1.07</v>
      </c>
      <c r="I9">
        <f t="shared" si="0"/>
        <v>-10.676616492400186</v>
      </c>
      <c r="J9">
        <f t="shared" si="1"/>
        <v>0.41400612438706375</v>
      </c>
      <c r="K9">
        <f t="shared" si="2"/>
        <v>0.34944147641425477</v>
      </c>
      <c r="L9">
        <f t="shared" si="3"/>
        <v>0.34944147641425477</v>
      </c>
      <c r="M9">
        <f t="shared" si="4"/>
        <v>23.508743943097201</v>
      </c>
      <c r="N9">
        <f t="shared" si="5"/>
        <v>10.209717770963607</v>
      </c>
      <c r="P9">
        <f t="shared" si="6"/>
        <v>-3.2649934220494914</v>
      </c>
      <c r="Q9">
        <f t="shared" si="7"/>
        <v>9.4357140090448013</v>
      </c>
      <c r="R9">
        <f t="shared" si="8"/>
        <v>-2.7323317982171971</v>
      </c>
      <c r="T9">
        <f t="shared" si="9"/>
        <v>3.4383887887781133</v>
      </c>
      <c r="V9" s="7">
        <f t="shared" si="10"/>
        <v>31.136749850296617</v>
      </c>
      <c r="W9">
        <f t="shared" si="11"/>
        <v>327.10280373831773</v>
      </c>
      <c r="Y9" t="s">
        <v>44</v>
      </c>
      <c r="Z9" s="7">
        <f t="shared" si="12"/>
        <v>312.51052419456198</v>
      </c>
      <c r="AA9" s="7">
        <f t="shared" si="13"/>
        <v>212.93462228311256</v>
      </c>
    </row>
    <row r="10" spans="1:27">
      <c r="A10" s="5">
        <v>100</v>
      </c>
      <c r="C10">
        <v>0.9</v>
      </c>
      <c r="E10" t="s">
        <v>28</v>
      </c>
      <c r="G10">
        <f t="shared" si="14"/>
        <v>1.08</v>
      </c>
      <c r="I10">
        <f t="shared" si="0"/>
        <v>-10.21947363525733</v>
      </c>
      <c r="J10">
        <f t="shared" si="1"/>
        <v>0.44988314274497221</v>
      </c>
      <c r="K10">
        <f t="shared" si="2"/>
        <v>0.3572296384080243</v>
      </c>
      <c r="L10">
        <f t="shared" si="3"/>
        <v>0.3572296384080243</v>
      </c>
      <c r="M10">
        <f t="shared" si="4"/>
        <v>25.054401517260729</v>
      </c>
      <c r="N10">
        <f t="shared" si="5"/>
        <v>10.880988326334794</v>
      </c>
      <c r="P10">
        <f t="shared" si="6"/>
        <v>-3.2649934220494914</v>
      </c>
      <c r="Q10">
        <f t="shared" si="7"/>
        <v>9.031703125601716</v>
      </c>
      <c r="R10">
        <f t="shared" si="8"/>
        <v>-2.9119776929219339</v>
      </c>
      <c r="T10">
        <f t="shared" si="9"/>
        <v>2.8547320106302911</v>
      </c>
      <c r="V10" s="7">
        <f t="shared" si="10"/>
        <v>17.369781667025496</v>
      </c>
      <c r="W10">
        <f t="shared" si="11"/>
        <v>324.07407407407408</v>
      </c>
      <c r="Y10" s="7">
        <f>AVERAGE(AA18:AA35)</f>
        <v>6.5762933971230124</v>
      </c>
      <c r="Z10" s="7">
        <f t="shared" si="12"/>
        <v>310.72978736443298</v>
      </c>
      <c r="AA10" s="7">
        <f t="shared" si="13"/>
        <v>178.069987789104</v>
      </c>
    </row>
    <row r="11" spans="1:27">
      <c r="A11" s="5"/>
      <c r="E11">
        <f>E8/C22</f>
        <v>1.0451721314672604</v>
      </c>
      <c r="G11">
        <f t="shared" si="14"/>
        <v>1.0900000000000001</v>
      </c>
      <c r="I11">
        <f t="shared" si="0"/>
        <v>-9.7623307781144675</v>
      </c>
      <c r="J11">
        <f t="shared" si="1"/>
        <v>0.48628915245806409</v>
      </c>
      <c r="K11">
        <f t="shared" si="2"/>
        <v>0.36487489834686221</v>
      </c>
      <c r="L11">
        <f t="shared" si="3"/>
        <v>0.36487489834686221</v>
      </c>
      <c r="M11">
        <f t="shared" si="4"/>
        <v>26.600059091424264</v>
      </c>
      <c r="N11">
        <f t="shared" si="5"/>
        <v>11.552258881705983</v>
      </c>
      <c r="P11">
        <f t="shared" si="6"/>
        <v>-3.2649934220494914</v>
      </c>
      <c r="Q11">
        <f t="shared" si="7"/>
        <v>8.6276922421586253</v>
      </c>
      <c r="R11">
        <f t="shared" si="8"/>
        <v>-3.0916235876266716</v>
      </c>
      <c r="T11">
        <f t="shared" si="9"/>
        <v>2.2710752324824628</v>
      </c>
      <c r="V11" s="7">
        <f t="shared" si="10"/>
        <v>9.6898140175429699</v>
      </c>
      <c r="W11">
        <f t="shared" si="11"/>
        <v>321.10091743119261</v>
      </c>
      <c r="Z11" s="7">
        <f t="shared" si="12"/>
        <v>308.94905053430398</v>
      </c>
      <c r="AA11" s="7">
        <f t="shared" si="13"/>
        <v>147.66786907969782</v>
      </c>
    </row>
    <row r="12" spans="1:27">
      <c r="A12" s="5" t="s">
        <v>17</v>
      </c>
      <c r="C12" t="s">
        <v>15</v>
      </c>
      <c r="D12" s="3"/>
      <c r="E12" s="3"/>
      <c r="G12">
        <f t="shared" si="14"/>
        <v>1.1000000000000001</v>
      </c>
      <c r="I12">
        <f t="shared" si="0"/>
        <v>-9.305187920971612</v>
      </c>
      <c r="J12">
        <f t="shared" si="1"/>
        <v>0.52284123390098336</v>
      </c>
      <c r="K12">
        <f t="shared" si="2"/>
        <v>0.37238115355953938</v>
      </c>
      <c r="L12">
        <f t="shared" si="3"/>
        <v>0.37238115355953938</v>
      </c>
      <c r="M12">
        <f t="shared" si="4"/>
        <v>28.145716665587784</v>
      </c>
      <c r="N12">
        <f t="shared" si="5"/>
        <v>12.223529437077167</v>
      </c>
      <c r="P12">
        <f t="shared" si="6"/>
        <v>-3.2649934220494914</v>
      </c>
      <c r="Q12">
        <f t="shared" si="7"/>
        <v>8.22368135871554</v>
      </c>
      <c r="R12">
        <f t="shared" si="8"/>
        <v>-3.2712694823314079</v>
      </c>
      <c r="T12">
        <f t="shared" si="9"/>
        <v>1.6874184543346411</v>
      </c>
      <c r="V12" s="7">
        <f t="shared" si="10"/>
        <v>5.4055081114126393</v>
      </c>
      <c r="W12">
        <f t="shared" si="11"/>
        <v>318.18181818181813</v>
      </c>
      <c r="Z12" s="7">
        <f t="shared" si="12"/>
        <v>307.16831370417498</v>
      </c>
      <c r="AA12" s="7">
        <f t="shared" si="13"/>
        <v>121.29728087906578</v>
      </c>
    </row>
    <row r="13" spans="1:27">
      <c r="A13" s="5">
        <v>1.96</v>
      </c>
      <c r="C13" s="9">
        <v>0.90181000768546027</v>
      </c>
      <c r="E13" t="s">
        <v>29</v>
      </c>
      <c r="G13">
        <f t="shared" si="14"/>
        <v>1.1100000000000001</v>
      </c>
      <c r="I13">
        <f t="shared" si="0"/>
        <v>-8.8480450638287564</v>
      </c>
      <c r="J13">
        <f t="shared" si="1"/>
        <v>0.55915029426657958</v>
      </c>
      <c r="K13">
        <f t="shared" si="2"/>
        <v>0.37975216093054681</v>
      </c>
      <c r="L13">
        <f t="shared" si="3"/>
        <v>0.37975216093054681</v>
      </c>
      <c r="M13">
        <f t="shared" si="4"/>
        <v>29.691374239751312</v>
      </c>
      <c r="N13">
        <f t="shared" si="5"/>
        <v>12.894799992448352</v>
      </c>
      <c r="P13">
        <f t="shared" si="6"/>
        <v>-3.2649934220494914</v>
      </c>
      <c r="Q13">
        <f t="shared" si="7"/>
        <v>7.8196704752724555</v>
      </c>
      <c r="R13">
        <f t="shared" si="8"/>
        <v>-3.4509153770361447</v>
      </c>
      <c r="T13">
        <f t="shared" si="9"/>
        <v>1.103761676186819</v>
      </c>
      <c r="V13" s="7">
        <f t="shared" si="10"/>
        <v>3.0154880052029074</v>
      </c>
      <c r="W13">
        <f t="shared" si="11"/>
        <v>315.31531531531527</v>
      </c>
      <c r="Z13" s="7">
        <f t="shared" si="12"/>
        <v>305.38757687404598</v>
      </c>
      <c r="AA13" s="7">
        <f t="shared" si="13"/>
        <v>98.55999055825616</v>
      </c>
    </row>
    <row r="14" spans="1:27">
      <c r="E14">
        <f>1/(1 + EXP($A$4*(1-E8)))</f>
        <v>0.32946079258495498</v>
      </c>
      <c r="G14">
        <f t="shared" si="14"/>
        <v>1.1200000000000001</v>
      </c>
      <c r="I14">
        <f t="shared" si="0"/>
        <v>-8.3909022066859009</v>
      </c>
      <c r="J14">
        <f t="shared" si="1"/>
        <v>0.59483749089011506</v>
      </c>
      <c r="K14">
        <f t="shared" si="2"/>
        <v>0.38699154316992906</v>
      </c>
      <c r="L14">
        <f t="shared" si="3"/>
        <v>0.38699154316992906</v>
      </c>
      <c r="M14">
        <f t="shared" si="4"/>
        <v>31.23703181391484</v>
      </c>
      <c r="N14">
        <f t="shared" si="5"/>
        <v>13.566070547819539</v>
      </c>
      <c r="P14">
        <f t="shared" si="6"/>
        <v>-3.2649934220494914</v>
      </c>
      <c r="Q14">
        <f t="shared" si="7"/>
        <v>7.4156595918293702</v>
      </c>
      <c r="R14">
        <f t="shared" si="8"/>
        <v>-3.6305612717408815</v>
      </c>
      <c r="T14">
        <f t="shared" si="9"/>
        <v>0.52010489803899684</v>
      </c>
      <c r="V14" s="7">
        <f t="shared" si="10"/>
        <v>1.6822041003553803</v>
      </c>
      <c r="W14">
        <f t="shared" si="11"/>
        <v>312.49999999999994</v>
      </c>
      <c r="Z14" s="7">
        <f t="shared" si="12"/>
        <v>303.60684004391697</v>
      </c>
      <c r="AA14" s="7">
        <f t="shared" si="13"/>
        <v>79.088294004477618</v>
      </c>
    </row>
    <row r="15" spans="1:27">
      <c r="C15" s="3" t="s">
        <v>16</v>
      </c>
      <c r="G15">
        <f t="shared" si="14"/>
        <v>1.1300000000000001</v>
      </c>
      <c r="I15">
        <f t="shared" si="0"/>
        <v>-7.9337593495430383</v>
      </c>
      <c r="J15">
        <f t="shared" si="1"/>
        <v>0.62954974782279793</v>
      </c>
      <c r="K15">
        <f t="shared" si="2"/>
        <v>0.39410279475020715</v>
      </c>
      <c r="L15">
        <f t="shared" si="3"/>
        <v>0.39410279475020715</v>
      </c>
      <c r="M15">
        <f t="shared" si="4"/>
        <v>32.782689388078367</v>
      </c>
      <c r="N15">
        <f t="shared" si="5"/>
        <v>14.237341103190724</v>
      </c>
      <c r="P15">
        <f t="shared" si="6"/>
        <v>-3.2649934220494914</v>
      </c>
      <c r="Q15">
        <f t="shared" si="7"/>
        <v>7.0116487083862795</v>
      </c>
      <c r="R15">
        <f t="shared" si="8"/>
        <v>-3.8102071664456187</v>
      </c>
      <c r="T15">
        <f t="shared" si="9"/>
        <v>-6.3551880108830616E-2</v>
      </c>
      <c r="V15" s="7">
        <f t="shared" si="10"/>
        <v>0.93842543242417109</v>
      </c>
      <c r="W15">
        <f t="shared" si="11"/>
        <v>309.73451327433628</v>
      </c>
      <c r="Z15" s="7">
        <f t="shared" si="12"/>
        <v>301.82610321378792</v>
      </c>
      <c r="AA15" s="7">
        <f t="shared" si="13"/>
        <v>62.54294968578256</v>
      </c>
    </row>
    <row r="16" spans="1:27">
      <c r="C16">
        <v>0.06</v>
      </c>
      <c r="G16">
        <f t="shared" si="14"/>
        <v>1.1400000000000001</v>
      </c>
      <c r="I16">
        <f t="shared" si="0"/>
        <v>-7.4766164924001828</v>
      </c>
      <c r="J16">
        <f t="shared" si="1"/>
        <v>0.66297304670653678</v>
      </c>
      <c r="K16">
        <f t="shared" si="2"/>
        <v>0.40108928753083128</v>
      </c>
      <c r="L16">
        <f t="shared" si="3"/>
        <v>0.40108928753083128</v>
      </c>
      <c r="M16">
        <f t="shared" si="4"/>
        <v>34.328346962241895</v>
      </c>
      <c r="N16">
        <f t="shared" si="5"/>
        <v>14.908611658561911</v>
      </c>
      <c r="P16">
        <f t="shared" si="6"/>
        <v>-3.2649934220494914</v>
      </c>
      <c r="Q16">
        <f t="shared" si="7"/>
        <v>6.6076378249431951</v>
      </c>
      <c r="R16">
        <f t="shared" si="8"/>
        <v>-3.9898530611503555</v>
      </c>
      <c r="T16">
        <f t="shared" si="9"/>
        <v>-0.64720865825665186</v>
      </c>
      <c r="V16" s="7">
        <f t="shared" si="10"/>
        <v>0.52350502060627169</v>
      </c>
      <c r="W16">
        <f t="shared" si="11"/>
        <v>307.01754385964909</v>
      </c>
      <c r="Z16" s="7">
        <f t="shared" si="12"/>
        <v>300.04536638365892</v>
      </c>
      <c r="AA16" s="7">
        <f t="shared" si="13"/>
        <v>48.611258756704785</v>
      </c>
    </row>
    <row r="17" spans="3:27">
      <c r="G17">
        <f t="shared" si="14"/>
        <v>1.1500000000000001</v>
      </c>
      <c r="I17">
        <f t="shared" si="0"/>
        <v>-7.0194736352573273</v>
      </c>
      <c r="J17">
        <f t="shared" si="1"/>
        <v>0.69484249542936705</v>
      </c>
      <c r="K17">
        <f t="shared" si="2"/>
        <v>0.40795427608918378</v>
      </c>
      <c r="L17">
        <f t="shared" si="3"/>
        <v>0.40795427608918378</v>
      </c>
      <c r="M17">
        <f t="shared" si="4"/>
        <v>35.87400453640543</v>
      </c>
      <c r="N17">
        <f t="shared" si="5"/>
        <v>15.5798822139331</v>
      </c>
      <c r="P17">
        <f t="shared" si="6"/>
        <v>-3.2649934220494914</v>
      </c>
      <c r="Q17">
        <f t="shared" si="7"/>
        <v>6.2036269415001097</v>
      </c>
      <c r="R17">
        <f t="shared" si="8"/>
        <v>-4.1694989558550937</v>
      </c>
      <c r="T17">
        <f t="shared" si="9"/>
        <v>-1.2308654364044753</v>
      </c>
      <c r="V17" s="7">
        <f t="shared" si="10"/>
        <v>0.2920397264724785</v>
      </c>
      <c r="W17">
        <f t="shared" si="11"/>
        <v>304.3478260869565</v>
      </c>
      <c r="Z17" s="7">
        <f t="shared" si="12"/>
        <v>298.26462955352991</v>
      </c>
      <c r="AA17" s="7">
        <f t="shared" si="13"/>
        <v>37.005280064293252</v>
      </c>
    </row>
    <row r="18" spans="3:27">
      <c r="C18" t="s">
        <v>23</v>
      </c>
      <c r="G18">
        <f t="shared" si="14"/>
        <v>1.1600000000000001</v>
      </c>
      <c r="I18">
        <f t="shared" si="0"/>
        <v>-6.5623307781144646</v>
      </c>
      <c r="J18">
        <f t="shared" si="1"/>
        <v>0.72494861807451083</v>
      </c>
      <c r="K18">
        <f t="shared" si="2"/>
        <v>0.41470090277584037</v>
      </c>
      <c r="L18">
        <f t="shared" si="3"/>
        <v>0.41470090277584037</v>
      </c>
      <c r="M18">
        <f t="shared" si="4"/>
        <v>37.419662110568957</v>
      </c>
      <c r="N18">
        <f t="shared" si="5"/>
        <v>16.251152769304287</v>
      </c>
      <c r="P18">
        <f t="shared" si="6"/>
        <v>-3.2649934220494914</v>
      </c>
      <c r="Q18">
        <f t="shared" si="7"/>
        <v>5.7996160580570191</v>
      </c>
      <c r="R18">
        <f t="shared" si="8"/>
        <v>-4.3491448505598305</v>
      </c>
      <c r="T18">
        <f t="shared" si="9"/>
        <v>-1.8145222145523028</v>
      </c>
      <c r="V18" s="7">
        <f t="shared" si="10"/>
        <v>0.16291572856235176</v>
      </c>
      <c r="W18">
        <f t="shared" si="11"/>
        <v>301.72413793103442</v>
      </c>
      <c r="Z18" s="7">
        <f t="shared" si="12"/>
        <v>296.48389272340091</v>
      </c>
      <c r="AA18" s="7">
        <f t="shared" si="13"/>
        <v>27.460169836125932</v>
      </c>
    </row>
    <row r="19" spans="3:27">
      <c r="C19">
        <v>-25.88</v>
      </c>
      <c r="G19">
        <f t="shared" si="14"/>
        <v>1.1700000000000002</v>
      </c>
      <c r="I19">
        <f t="shared" si="0"/>
        <v>-6.1051879209716091</v>
      </c>
      <c r="J19">
        <f t="shared" si="1"/>
        <v>0.75313977917351538</v>
      </c>
      <c r="K19">
        <f t="shared" si="2"/>
        <v>0.42133220251058845</v>
      </c>
      <c r="L19">
        <f t="shared" si="3"/>
        <v>0.42133220251058845</v>
      </c>
      <c r="M19">
        <f t="shared" si="4"/>
        <v>38.965319684732492</v>
      </c>
      <c r="N19">
        <f t="shared" si="5"/>
        <v>16.922423324675474</v>
      </c>
      <c r="P19">
        <f t="shared" si="6"/>
        <v>-3.2649934220494914</v>
      </c>
      <c r="Q19">
        <f t="shared" si="7"/>
        <v>5.3956051746139346</v>
      </c>
      <c r="R19">
        <f t="shared" si="8"/>
        <v>-4.5287907452645682</v>
      </c>
      <c r="T19">
        <f t="shared" si="9"/>
        <v>-2.3981789927001249</v>
      </c>
      <c r="V19" s="7">
        <f t="shared" si="10"/>
        <v>9.0883301849357348E-2</v>
      </c>
      <c r="W19">
        <f t="shared" si="11"/>
        <v>299.14529914529913</v>
      </c>
      <c r="Z19" s="7">
        <f t="shared" si="12"/>
        <v>294.70315589327191</v>
      </c>
      <c r="AA19" s="7">
        <f t="shared" si="13"/>
        <v>19.732636671530983</v>
      </c>
    </row>
    <row r="20" spans="3:27">
      <c r="G20">
        <f t="shared" si="14"/>
        <v>1.1800000000000002</v>
      </c>
      <c r="I20">
        <f t="shared" si="0"/>
        <v>-5.6480450638287536</v>
      </c>
      <c r="J20">
        <f t="shared" si="1"/>
        <v>0.77932107135667106</v>
      </c>
      <c r="K20">
        <f t="shared" si="2"/>
        <v>0.42785110733457804</v>
      </c>
      <c r="L20">
        <f t="shared" si="3"/>
        <v>0.42785110733457804</v>
      </c>
      <c r="M20">
        <f t="shared" si="4"/>
        <v>40.510977258896013</v>
      </c>
      <c r="N20">
        <f t="shared" si="5"/>
        <v>17.593693880046658</v>
      </c>
      <c r="P20">
        <f t="shared" si="6"/>
        <v>-3.2649934220494914</v>
      </c>
      <c r="Q20">
        <f t="shared" si="7"/>
        <v>4.9915942911708493</v>
      </c>
      <c r="R20">
        <f t="shared" si="8"/>
        <v>-4.7084366399693041</v>
      </c>
      <c r="T20">
        <f t="shared" si="9"/>
        <v>-2.9818357708479462</v>
      </c>
      <c r="V20" s="7">
        <f t="shared" si="10"/>
        <v>5.0699675396167744E-2</v>
      </c>
      <c r="W20">
        <f t="shared" si="11"/>
        <v>296.61016949152537</v>
      </c>
      <c r="Z20" s="7">
        <f t="shared" si="12"/>
        <v>292.92241906314291</v>
      </c>
      <c r="AA20" s="7">
        <f t="shared" si="13"/>
        <v>13.599503222035001</v>
      </c>
    </row>
    <row r="21" spans="3:27">
      <c r="C21" t="s">
        <v>21</v>
      </c>
      <c r="G21">
        <f t="shared" si="14"/>
        <v>1.1900000000000002</v>
      </c>
      <c r="I21">
        <f t="shared" si="0"/>
        <v>-5.1909022066858981</v>
      </c>
      <c r="J21">
        <f t="shared" si="1"/>
        <v>0.80345029947256652</v>
      </c>
      <c r="K21">
        <f t="shared" si="2"/>
        <v>0.43426045073295427</v>
      </c>
      <c r="L21">
        <f t="shared" si="3"/>
        <v>0.43426045073295427</v>
      </c>
      <c r="M21">
        <f t="shared" si="4"/>
        <v>42.056634833059533</v>
      </c>
      <c r="N21">
        <f t="shared" si="5"/>
        <v>18.264964435417841</v>
      </c>
      <c r="P21">
        <f t="shared" si="6"/>
        <v>-3.2649934220494914</v>
      </c>
      <c r="Q21">
        <f t="shared" si="7"/>
        <v>4.5875834077277649</v>
      </c>
      <c r="R21">
        <f t="shared" si="8"/>
        <v>-4.88808253467404</v>
      </c>
      <c r="T21">
        <f t="shared" si="9"/>
        <v>-3.5654925489957665</v>
      </c>
      <c r="V21" s="7">
        <f t="shared" si="10"/>
        <v>2.8283051264328105E-2</v>
      </c>
      <c r="W21">
        <f t="shared" si="11"/>
        <v>294.11764705882348</v>
      </c>
      <c r="Z21" s="7">
        <f t="shared" si="12"/>
        <v>291.14168223301391</v>
      </c>
      <c r="AA21" s="7">
        <f t="shared" si="13"/>
        <v>8.8563666444557807</v>
      </c>
    </row>
    <row r="22" spans="3:27">
      <c r="C22">
        <f>320/C7</f>
        <v>0.91428571428571426</v>
      </c>
      <c r="G22">
        <f t="shared" si="14"/>
        <v>1.2000000000000002</v>
      </c>
      <c r="I22">
        <f t="shared" si="0"/>
        <v>-4.7337593495430355</v>
      </c>
      <c r="J22">
        <f t="shared" si="1"/>
        <v>0.82553186044010074</v>
      </c>
      <c r="K22">
        <f t="shared" si="2"/>
        <v>0.44056297174135761</v>
      </c>
      <c r="L22">
        <f t="shared" si="3"/>
        <v>0.44056297174135761</v>
      </c>
      <c r="M22">
        <f t="shared" si="4"/>
        <v>43.602292407223068</v>
      </c>
      <c r="N22">
        <f t="shared" si="5"/>
        <v>18.936234990789032</v>
      </c>
      <c r="P22">
        <f t="shared" si="6"/>
        <v>-3.2649934220494914</v>
      </c>
      <c r="Q22">
        <f t="shared" si="7"/>
        <v>4.1835725242846733</v>
      </c>
      <c r="R22">
        <f t="shared" si="8"/>
        <v>-5.0677284293787777</v>
      </c>
      <c r="T22">
        <f t="shared" si="9"/>
        <v>-4.1491493271435953</v>
      </c>
      <c r="V22" s="7">
        <f t="shared" si="10"/>
        <v>1.5777832551588083E-2</v>
      </c>
      <c r="W22">
        <f t="shared" si="11"/>
        <v>291.66666666666663</v>
      </c>
      <c r="Z22" s="7">
        <f t="shared" si="12"/>
        <v>289.36094540288485</v>
      </c>
      <c r="AA22" s="7">
        <f t="shared" si="13"/>
        <v>5.3163505462554346</v>
      </c>
    </row>
    <row r="23" spans="3:27">
      <c r="G23">
        <f t="shared" si="14"/>
        <v>1.2100000000000002</v>
      </c>
      <c r="I23">
        <f t="shared" si="0"/>
        <v>-4.2766164924001799</v>
      </c>
      <c r="J23">
        <f t="shared" si="1"/>
        <v>0.84560935203681176</v>
      </c>
      <c r="K23">
        <f t="shared" si="2"/>
        <v>0.44676131884879566</v>
      </c>
      <c r="L23">
        <f t="shared" si="3"/>
        <v>0.44676131884879566</v>
      </c>
      <c r="M23">
        <f t="shared" si="4"/>
        <v>45.147949981386596</v>
      </c>
      <c r="N23">
        <f t="shared" si="5"/>
        <v>19.607505546160219</v>
      </c>
      <c r="P23">
        <f t="shared" si="6"/>
        <v>-3.2649934220494914</v>
      </c>
      <c r="Q23">
        <f t="shared" si="7"/>
        <v>3.7795616408415889</v>
      </c>
      <c r="R23">
        <f t="shared" si="8"/>
        <v>-5.2473743240835145</v>
      </c>
      <c r="T23">
        <f t="shared" si="9"/>
        <v>-4.7328061052914165</v>
      </c>
      <c r="V23" s="7">
        <f t="shared" si="10"/>
        <v>8.8017377509734609E-3</v>
      </c>
      <c r="W23">
        <f t="shared" si="11"/>
        <v>289.25619834710739</v>
      </c>
      <c r="Z23" s="7">
        <f t="shared" si="12"/>
        <v>287.58020857275585</v>
      </c>
      <c r="AA23" s="7">
        <f t="shared" si="13"/>
        <v>2.8089417237309102</v>
      </c>
    </row>
    <row r="24" spans="3:27">
      <c r="G24">
        <f t="shared" si="14"/>
        <v>1.2200000000000002</v>
      </c>
      <c r="I24">
        <f t="shared" si="0"/>
        <v>-3.8194736352573244</v>
      </c>
      <c r="J24">
        <f t="shared" si="1"/>
        <v>0.86375767309632279</v>
      </c>
      <c r="K24">
        <f t="shared" si="2"/>
        <v>0.45285805370857074</v>
      </c>
      <c r="L24">
        <f t="shared" si="3"/>
        <v>0.45285805370857074</v>
      </c>
      <c r="M24">
        <f t="shared" si="4"/>
        <v>46.693607555550116</v>
      </c>
      <c r="N24">
        <f t="shared" si="5"/>
        <v>20.278776101531403</v>
      </c>
      <c r="P24">
        <f t="shared" si="6"/>
        <v>-3.2649934220494914</v>
      </c>
      <c r="Q24">
        <f t="shared" si="7"/>
        <v>3.375550757398504</v>
      </c>
      <c r="R24">
        <f t="shared" si="8"/>
        <v>-5.4270202187882512</v>
      </c>
      <c r="T24">
        <f t="shared" si="9"/>
        <v>-5.3164628834392387</v>
      </c>
      <c r="V24" s="7">
        <f t="shared" si="10"/>
        <v>4.9100906086820958E-3</v>
      </c>
      <c r="W24">
        <f t="shared" si="11"/>
        <v>286.88524590163928</v>
      </c>
      <c r="Z24" s="7">
        <f t="shared" si="12"/>
        <v>285.79947174262685</v>
      </c>
      <c r="AA24" s="7">
        <f t="shared" si="13"/>
        <v>1.1789055243791509</v>
      </c>
    </row>
    <row r="25" spans="3:27">
      <c r="G25">
        <f t="shared" si="14"/>
        <v>1.2300000000000002</v>
      </c>
      <c r="I25">
        <f t="shared" si="0"/>
        <v>-3.3623307781144618</v>
      </c>
      <c r="J25">
        <f t="shared" si="1"/>
        <v>0.88007523994309866</v>
      </c>
      <c r="K25">
        <f t="shared" si="2"/>
        <v>0.45885565466818695</v>
      </c>
      <c r="L25">
        <f t="shared" si="3"/>
        <v>0.45885565466818695</v>
      </c>
      <c r="M25">
        <f t="shared" si="4"/>
        <v>48.239265129713658</v>
      </c>
      <c r="N25">
        <f t="shared" si="5"/>
        <v>20.950046656902593</v>
      </c>
      <c r="P25">
        <f t="shared" si="6"/>
        <v>-3.2649934220494914</v>
      </c>
      <c r="Q25">
        <f t="shared" si="7"/>
        <v>2.9715398739554133</v>
      </c>
      <c r="R25">
        <f t="shared" si="8"/>
        <v>-5.6066661134929898</v>
      </c>
      <c r="T25">
        <f t="shared" si="9"/>
        <v>-5.9001196615870679</v>
      </c>
      <c r="V25" s="7">
        <f t="shared" si="10"/>
        <v>2.7391170320658002E-3</v>
      </c>
      <c r="W25">
        <f t="shared" si="11"/>
        <v>284.55284552845524</v>
      </c>
      <c r="Z25" s="7">
        <f t="shared" si="12"/>
        <v>284.01873491249785</v>
      </c>
      <c r="AA25" s="7">
        <f t="shared" si="13"/>
        <v>0.28527415007838075</v>
      </c>
    </row>
    <row r="26" spans="3:27">
      <c r="G26">
        <f t="shared" si="14"/>
        <v>1.2400000000000002</v>
      </c>
      <c r="I26">
        <f t="shared" si="0"/>
        <v>-2.9051879209716063</v>
      </c>
      <c r="J26">
        <f t="shared" si="1"/>
        <v>0.89467677676754676</v>
      </c>
      <c r="K26">
        <f t="shared" si="2"/>
        <v>0.46475652012845448</v>
      </c>
      <c r="L26">
        <f t="shared" si="3"/>
        <v>0.46475652012845448</v>
      </c>
      <c r="M26">
        <f t="shared" si="4"/>
        <v>49.784922703877186</v>
      </c>
      <c r="N26">
        <f t="shared" si="5"/>
        <v>21.62131721227378</v>
      </c>
      <c r="P26">
        <f t="shared" si="6"/>
        <v>-3.2649934220494914</v>
      </c>
      <c r="Q26">
        <f t="shared" si="7"/>
        <v>2.5675289905123284</v>
      </c>
      <c r="R26">
        <f t="shared" si="8"/>
        <v>-5.7863120081977266</v>
      </c>
      <c r="T26">
        <f t="shared" si="9"/>
        <v>-6.4837764397348892</v>
      </c>
      <c r="V26" s="7">
        <f t="shared" si="10"/>
        <v>1.5280292591925944E-3</v>
      </c>
      <c r="W26">
        <f t="shared" si="11"/>
        <v>282.25806451612897</v>
      </c>
      <c r="Z26" s="7">
        <f t="shared" si="12"/>
        <v>282.23799808236885</v>
      </c>
      <c r="AA26" s="7">
        <f t="shared" si="13"/>
        <v>4.0266176384932669E-4</v>
      </c>
    </row>
    <row r="27" spans="3:27">
      <c r="G27">
        <f t="shared" si="14"/>
        <v>1.2500000000000002</v>
      </c>
      <c r="I27">
        <f t="shared" si="0"/>
        <v>-2.4480450638287508</v>
      </c>
      <c r="J27">
        <f t="shared" si="1"/>
        <v>0.90768697124770226</v>
      </c>
      <c r="K27">
        <f t="shared" si="2"/>
        <v>0.47056297174135775</v>
      </c>
      <c r="L27">
        <f t="shared" si="3"/>
        <v>0.47056297174135775</v>
      </c>
      <c r="M27">
        <f t="shared" si="4"/>
        <v>51.330580278040713</v>
      </c>
      <c r="N27">
        <f t="shared" si="5"/>
        <v>22.292587767644967</v>
      </c>
      <c r="P27">
        <f t="shared" si="6"/>
        <v>-3.2649934220494914</v>
      </c>
      <c r="Q27">
        <f t="shared" si="7"/>
        <v>2.1635181070692435</v>
      </c>
      <c r="R27">
        <f t="shared" si="8"/>
        <v>-5.9659579029024634</v>
      </c>
      <c r="T27">
        <f t="shared" si="9"/>
        <v>-7.0674332178827113</v>
      </c>
      <c r="V27" s="7">
        <f t="shared" si="10"/>
        <v>8.5241827553010434E-4</v>
      </c>
      <c r="W27">
        <f t="shared" si="11"/>
        <v>279.99999999999994</v>
      </c>
      <c r="Z27" s="7">
        <f t="shared" si="12"/>
        <v>280.45726125223985</v>
      </c>
      <c r="AA27" s="7">
        <f t="shared" si="13"/>
        <v>0.20908785280000389</v>
      </c>
    </row>
    <row r="28" spans="3:27">
      <c r="G28">
        <f t="shared" si="14"/>
        <v>1.2600000000000002</v>
      </c>
      <c r="I28">
        <f t="shared" si="0"/>
        <v>-1.9909022066858952</v>
      </c>
      <c r="J28">
        <f t="shared" si="1"/>
        <v>0.91923514113156213</v>
      </c>
      <c r="K28">
        <f t="shared" si="2"/>
        <v>0.47627725745564342</v>
      </c>
      <c r="L28">
        <f t="shared" si="3"/>
        <v>0.47627725745564342</v>
      </c>
      <c r="M28">
        <f t="shared" si="4"/>
        <v>52.876237852204234</v>
      </c>
      <c r="N28">
        <f t="shared" si="5"/>
        <v>22.963858323016147</v>
      </c>
      <c r="P28">
        <f t="shared" si="6"/>
        <v>-3.2649934220494914</v>
      </c>
      <c r="Q28">
        <f t="shared" si="7"/>
        <v>1.7595072236261589</v>
      </c>
      <c r="R28">
        <f t="shared" si="8"/>
        <v>-6.1456037976071993</v>
      </c>
      <c r="T28">
        <f t="shared" si="9"/>
        <v>-7.6510899960305316</v>
      </c>
      <c r="V28" s="7">
        <f t="shared" si="10"/>
        <v>4.7552552550051308E-4</v>
      </c>
      <c r="W28">
        <f t="shared" si="11"/>
        <v>277.77777777777771</v>
      </c>
      <c r="Z28" s="7">
        <f t="shared" si="12"/>
        <v>278.67652442211084</v>
      </c>
      <c r="AA28" s="7">
        <f t="shared" si="13"/>
        <v>0.80774553070006172</v>
      </c>
    </row>
    <row r="29" spans="3:27">
      <c r="G29">
        <f t="shared" si="14"/>
        <v>1.2700000000000002</v>
      </c>
      <c r="I29">
        <f t="shared" si="0"/>
        <v>-1.5337593495430326</v>
      </c>
      <c r="J29">
        <f t="shared" si="1"/>
        <v>0.92945094287916752</v>
      </c>
      <c r="K29">
        <f t="shared" si="2"/>
        <v>0.48190155441852311</v>
      </c>
      <c r="L29">
        <f t="shared" si="3"/>
        <v>0.48190155441852311</v>
      </c>
      <c r="M29">
        <f t="shared" si="4"/>
        <v>54.421895426367776</v>
      </c>
      <c r="N29">
        <f t="shared" si="5"/>
        <v>23.635128878387341</v>
      </c>
      <c r="P29">
        <f t="shared" si="6"/>
        <v>-3.2649934220494914</v>
      </c>
      <c r="Q29">
        <f t="shared" si="7"/>
        <v>1.3554963401830677</v>
      </c>
      <c r="R29">
        <f t="shared" si="8"/>
        <v>-6.3252496923119379</v>
      </c>
      <c r="T29">
        <f t="shared" si="9"/>
        <v>-8.2347467741783618</v>
      </c>
      <c r="V29" s="7">
        <f t="shared" si="10"/>
        <v>2.6527414051735803E-4</v>
      </c>
      <c r="W29">
        <f t="shared" si="11"/>
        <v>275.59055118110228</v>
      </c>
      <c r="Z29" s="7">
        <f t="shared" si="12"/>
        <v>276.89578759198179</v>
      </c>
      <c r="AA29" s="7">
        <f t="shared" si="13"/>
        <v>1.7036420882856036</v>
      </c>
    </row>
    <row r="30" spans="3:27">
      <c r="G30">
        <f t="shared" si="14"/>
        <v>1.2800000000000002</v>
      </c>
      <c r="I30">
        <f t="shared" si="0"/>
        <v>-1.0766164924001771</v>
      </c>
      <c r="J30">
        <f t="shared" si="1"/>
        <v>0.93846107214660801</v>
      </c>
      <c r="K30">
        <f t="shared" si="2"/>
        <v>0.48743797174135767</v>
      </c>
      <c r="L30">
        <f t="shared" si="3"/>
        <v>0.48743797174135767</v>
      </c>
      <c r="M30">
        <f t="shared" si="4"/>
        <v>55.967553000531289</v>
      </c>
      <c r="N30">
        <f t="shared" si="5"/>
        <v>24.306399433758521</v>
      </c>
      <c r="P30">
        <f t="shared" si="6"/>
        <v>-3.2649934220494914</v>
      </c>
      <c r="Q30">
        <f t="shared" si="7"/>
        <v>0.95148545673998308</v>
      </c>
      <c r="R30">
        <f t="shared" si="8"/>
        <v>-6.5048955870166738</v>
      </c>
      <c r="T30">
        <f t="shared" si="9"/>
        <v>-8.8184035523261812</v>
      </c>
      <c r="V30" s="7">
        <f t="shared" si="10"/>
        <v>1.4798442113734194E-4</v>
      </c>
      <c r="W30">
        <f t="shared" si="11"/>
        <v>273.43749999999994</v>
      </c>
      <c r="Z30" s="7">
        <f t="shared" si="12"/>
        <v>275.11505076185279</v>
      </c>
      <c r="AA30" s="7">
        <f t="shared" si="13"/>
        <v>2.8141765585930516</v>
      </c>
    </row>
    <row r="31" spans="3:27">
      <c r="G31">
        <f t="shared" si="14"/>
        <v>1.2900000000000003</v>
      </c>
      <c r="I31">
        <f t="shared" si="0"/>
        <v>-0.61947363525732158</v>
      </c>
      <c r="J31">
        <f t="shared" si="1"/>
        <v>0.9463868550158494</v>
      </c>
      <c r="K31">
        <f t="shared" si="2"/>
        <v>0.49288855313670654</v>
      </c>
      <c r="L31">
        <f t="shared" si="3"/>
        <v>0.49288855313670654</v>
      </c>
      <c r="M31">
        <f t="shared" si="4"/>
        <v>57.513210574694824</v>
      </c>
      <c r="N31">
        <f t="shared" si="5"/>
        <v>24.977669989129712</v>
      </c>
      <c r="P31">
        <f t="shared" si="6"/>
        <v>-3.2649934220494914</v>
      </c>
      <c r="Q31">
        <f t="shared" si="7"/>
        <v>0.5474745732968983</v>
      </c>
      <c r="R31">
        <f t="shared" si="8"/>
        <v>-6.6845414817214115</v>
      </c>
      <c r="T31">
        <f t="shared" si="9"/>
        <v>-9.4020603304740042</v>
      </c>
      <c r="V31" s="7">
        <f t="shared" si="10"/>
        <v>8.2553802103153462E-5</v>
      </c>
      <c r="W31">
        <f t="shared" si="11"/>
        <v>271.31782945736427</v>
      </c>
      <c r="Z31" s="7">
        <f t="shared" si="12"/>
        <v>273.33431393172378</v>
      </c>
      <c r="AA31" s="7">
        <f t="shared" si="13"/>
        <v>4.0662096353329709</v>
      </c>
    </row>
    <row r="32" spans="3:27">
      <c r="G32">
        <f t="shared" si="14"/>
        <v>1.3000000000000003</v>
      </c>
      <c r="I32">
        <f t="shared" si="0"/>
        <v>-0.16233077811445895</v>
      </c>
      <c r="J32">
        <f t="shared" si="1"/>
        <v>0.95334260287162909</v>
      </c>
      <c r="K32">
        <f t="shared" si="2"/>
        <v>0.49825527943366543</v>
      </c>
      <c r="L32">
        <f t="shared" si="3"/>
        <v>0.49825527943366543</v>
      </c>
      <c r="M32">
        <f t="shared" si="4"/>
        <v>59.058868148858366</v>
      </c>
      <c r="N32">
        <f t="shared" si="5"/>
        <v>25.648940544500903</v>
      </c>
      <c r="P32">
        <f t="shared" si="6"/>
        <v>-3.2649934220494914</v>
      </c>
      <c r="Q32">
        <f t="shared" si="7"/>
        <v>0.14346368985380722</v>
      </c>
      <c r="R32">
        <f t="shared" si="8"/>
        <v>-6.8641873764261501</v>
      </c>
      <c r="T32">
        <f t="shared" si="9"/>
        <v>-9.9857171086218344</v>
      </c>
      <c r="V32" s="7">
        <f t="shared" si="10"/>
        <v>4.6053024969172699E-5</v>
      </c>
      <c r="W32">
        <f t="shared" si="11"/>
        <v>269.23076923076917</v>
      </c>
      <c r="Z32" s="7">
        <f t="shared" si="12"/>
        <v>271.55357710159478</v>
      </c>
      <c r="AA32" s="7">
        <f t="shared" si="13"/>
        <v>5.3954364047694199</v>
      </c>
    </row>
    <row r="33" spans="7:27">
      <c r="G33">
        <f t="shared" si="14"/>
        <v>1.3100000000000003</v>
      </c>
      <c r="I33">
        <f t="shared" si="0"/>
        <v>0.29481207902839657</v>
      </c>
      <c r="J33">
        <f t="shared" si="1"/>
        <v>0.95943459631506434</v>
      </c>
      <c r="K33">
        <f t="shared" si="2"/>
        <v>0.50354007097799891</v>
      </c>
      <c r="L33">
        <f t="shared" si="3"/>
        <v>0.50354007097799891</v>
      </c>
      <c r="M33">
        <f t="shared" si="4"/>
        <v>60.604525723021879</v>
      </c>
      <c r="N33">
        <f t="shared" si="5"/>
        <v>26.320211099872083</v>
      </c>
      <c r="P33">
        <f t="shared" si="6"/>
        <v>-3.2649934220494914</v>
      </c>
      <c r="Q33">
        <f t="shared" si="7"/>
        <v>-0.26054719358927753</v>
      </c>
      <c r="R33">
        <f t="shared" si="8"/>
        <v>-7.0438332711308851</v>
      </c>
      <c r="T33">
        <f t="shared" si="9"/>
        <v>-10.569373886769654</v>
      </c>
      <c r="V33" s="7">
        <f t="shared" si="10"/>
        <v>2.5690895570880695E-5</v>
      </c>
      <c r="W33">
        <f t="shared" si="11"/>
        <v>267.17557251908391</v>
      </c>
      <c r="Z33" s="7">
        <f t="shared" si="12"/>
        <v>269.77284027146578</v>
      </c>
      <c r="AA33" s="7">
        <f t="shared" si="13"/>
        <v>6.7457997775627581</v>
      </c>
    </row>
    <row r="34" spans="7:27">
      <c r="G34">
        <f t="shared" si="14"/>
        <v>1.3200000000000003</v>
      </c>
      <c r="I34">
        <f t="shared" si="0"/>
        <v>0.75195493617125209</v>
      </c>
      <c r="J34">
        <f t="shared" si="1"/>
        <v>0.96476056847983449</v>
      </c>
      <c r="K34">
        <f t="shared" si="2"/>
        <v>0.50874478992317584</v>
      </c>
      <c r="L34">
        <f t="shared" si="3"/>
        <v>0.50874478992317584</v>
      </c>
      <c r="M34">
        <f t="shared" si="4"/>
        <v>62.1501832971854</v>
      </c>
      <c r="N34">
        <f t="shared" si="5"/>
        <v>26.991481655243266</v>
      </c>
      <c r="P34">
        <f t="shared" si="6"/>
        <v>-3.2649934220494914</v>
      </c>
      <c r="Q34">
        <f t="shared" si="7"/>
        <v>-0.66455807703236225</v>
      </c>
      <c r="R34">
        <f t="shared" si="8"/>
        <v>-7.223479165835621</v>
      </c>
      <c r="T34">
        <f t="shared" si="9"/>
        <v>-11.153030664917475</v>
      </c>
      <c r="V34" s="7">
        <f t="shared" si="10"/>
        <v>1.4331786363126124E-5</v>
      </c>
      <c r="W34">
        <f t="shared" si="11"/>
        <v>265.15151515151507</v>
      </c>
      <c r="Z34" s="7">
        <f t="shared" si="12"/>
        <v>267.99210344133678</v>
      </c>
      <c r="AA34" s="7">
        <f t="shared" si="13"/>
        <v>8.0689418322722268</v>
      </c>
    </row>
    <row r="35" spans="7:27">
      <c r="G35">
        <f t="shared" si="14"/>
        <v>1.3300000000000003</v>
      </c>
      <c r="I35">
        <f t="shared" si="0"/>
        <v>1.2090977933141076</v>
      </c>
      <c r="J35">
        <f t="shared" si="1"/>
        <v>0.96940957057817623</v>
      </c>
      <c r="K35">
        <f t="shared" si="2"/>
        <v>0.51387124241804938</v>
      </c>
      <c r="L35">
        <f t="shared" si="3"/>
        <v>0.51387124241804938</v>
      </c>
      <c r="M35">
        <f t="shared" si="4"/>
        <v>63.695840871348921</v>
      </c>
      <c r="N35">
        <f t="shared" si="5"/>
        <v>27.66275221061445</v>
      </c>
      <c r="P35">
        <f t="shared" si="6"/>
        <v>-3.2649934220494914</v>
      </c>
      <c r="Q35">
        <f t="shared" si="7"/>
        <v>-1.0685689604754471</v>
      </c>
      <c r="R35">
        <f t="shared" si="8"/>
        <v>-7.4031250605403569</v>
      </c>
      <c r="T35">
        <f t="shared" si="9"/>
        <v>-11.736687443065296</v>
      </c>
      <c r="V35" s="7">
        <f t="shared" si="10"/>
        <v>7.9950541152445583E-6</v>
      </c>
      <c r="W35">
        <f t="shared" si="11"/>
        <v>263.15789473684202</v>
      </c>
      <c r="Z35" s="7">
        <f t="shared" si="12"/>
        <v>266.21136661120778</v>
      </c>
      <c r="AA35" s="7">
        <f t="shared" si="13"/>
        <v>9.3236904875427165</v>
      </c>
    </row>
    <row r="36" spans="7:27">
      <c r="G36">
        <f t="shared" si="14"/>
        <v>1.3400000000000003</v>
      </c>
      <c r="I36">
        <f t="shared" si="0"/>
        <v>1.6662406504569702</v>
      </c>
      <c r="J36">
        <f t="shared" si="1"/>
        <v>0.97346211864792298</v>
      </c>
      <c r="K36">
        <f t="shared" si="2"/>
        <v>0.51892118069658166</v>
      </c>
      <c r="L36">
        <f t="shared" si="3"/>
        <v>0.51892118069658166</v>
      </c>
      <c r="M36">
        <f t="shared" si="4"/>
        <v>65.241498445512477</v>
      </c>
      <c r="N36">
        <f t="shared" si="5"/>
        <v>28.334022765985647</v>
      </c>
      <c r="P36">
        <f t="shared" si="6"/>
        <v>-3.2649934220494914</v>
      </c>
      <c r="Q36">
        <f t="shared" si="7"/>
        <v>-1.472579843918538</v>
      </c>
      <c r="R36">
        <f t="shared" si="8"/>
        <v>-7.5827709552450973</v>
      </c>
      <c r="T36">
        <f t="shared" si="9"/>
        <v>-12.320344221213126</v>
      </c>
      <c r="V36" s="7">
        <f t="shared" si="10"/>
        <v>4.4600783660959929E-6</v>
      </c>
      <c r="W36">
        <f t="shared" si="11"/>
        <v>261.19402985074623</v>
      </c>
      <c r="Z36" s="7">
        <f t="shared" si="12"/>
        <v>264.43062978107872</v>
      </c>
      <c r="AA36" s="7">
        <f t="shared" si="13"/>
        <v>10.475579109028269</v>
      </c>
    </row>
    <row r="37" spans="7:27">
      <c r="G37">
        <f t="shared" si="14"/>
        <v>1.3500000000000003</v>
      </c>
      <c r="I37">
        <f t="shared" si="0"/>
        <v>2.1233835075998257</v>
      </c>
      <c r="J37">
        <f t="shared" si="1"/>
        <v>0.97699053763942201</v>
      </c>
      <c r="K37">
        <f t="shared" si="2"/>
        <v>0.52389630507469098</v>
      </c>
      <c r="L37">
        <f t="shared" si="3"/>
        <v>0.52389630507469098</v>
      </c>
      <c r="M37">
        <f t="shared" si="4"/>
        <v>66.78715601967599</v>
      </c>
      <c r="N37">
        <f t="shared" si="5"/>
        <v>29.005293321356827</v>
      </c>
      <c r="P37">
        <f t="shared" si="6"/>
        <v>-3.2649934220494914</v>
      </c>
      <c r="Q37">
        <f t="shared" si="7"/>
        <v>-1.8765907273616229</v>
      </c>
      <c r="R37">
        <f t="shared" si="8"/>
        <v>-7.7624168499498332</v>
      </c>
      <c r="T37">
        <f t="shared" si="9"/>
        <v>-12.904000999360948</v>
      </c>
      <c r="V37" s="7">
        <f t="shared" si="10"/>
        <v>2.4880755958597029E-6</v>
      </c>
      <c r="W37">
        <f t="shared" si="11"/>
        <v>259.25925925925918</v>
      </c>
      <c r="Z37" s="7">
        <f t="shared" si="12"/>
        <v>262.64989295094972</v>
      </c>
      <c r="AA37" s="7">
        <f t="shared" si="13"/>
        <v>11.496396831227012</v>
      </c>
    </row>
    <row r="38" spans="7:27">
      <c r="G38">
        <f t="shared" si="14"/>
        <v>1.3600000000000003</v>
      </c>
      <c r="I38">
        <f t="shared" si="0"/>
        <v>2.5805263647426813</v>
      </c>
      <c r="J38">
        <f t="shared" si="1"/>
        <v>0.98005943547312757</v>
      </c>
      <c r="K38">
        <f t="shared" si="2"/>
        <v>0.5287982658590048</v>
      </c>
      <c r="L38">
        <f t="shared" si="3"/>
        <v>0.5287982658590048</v>
      </c>
      <c r="M38">
        <f t="shared" si="4"/>
        <v>68.332813593839518</v>
      </c>
      <c r="N38">
        <f t="shared" si="5"/>
        <v>29.676563876728014</v>
      </c>
      <c r="P38">
        <f t="shared" si="6"/>
        <v>-3.2649934220494914</v>
      </c>
      <c r="Q38">
        <f t="shared" si="7"/>
        <v>-2.2806016108047076</v>
      </c>
      <c r="R38">
        <f t="shared" si="8"/>
        <v>-7.94206274465457</v>
      </c>
      <c r="T38">
        <f t="shared" si="9"/>
        <v>-13.487657777508769</v>
      </c>
      <c r="V38" s="7">
        <f t="shared" si="10"/>
        <v>1.3879846187840232E-6</v>
      </c>
      <c r="W38">
        <f t="shared" si="11"/>
        <v>257.35294117647055</v>
      </c>
      <c r="Z38" s="7">
        <f t="shared" si="12"/>
        <v>260.86915612082072</v>
      </c>
      <c r="AA38" s="7">
        <f t="shared" si="13"/>
        <v>12.363767534871451</v>
      </c>
    </row>
    <row r="39" spans="7:27">
      <c r="G39">
        <f t="shared" si="14"/>
        <v>1.3700000000000003</v>
      </c>
      <c r="I39">
        <f t="shared" si="0"/>
        <v>3.0376692218855439</v>
      </c>
      <c r="J39">
        <f t="shared" si="1"/>
        <v>0.98272625455189555</v>
      </c>
      <c r="K39">
        <f t="shared" si="2"/>
        <v>0.53362866517201468</v>
      </c>
      <c r="L39">
        <f t="shared" si="3"/>
        <v>0.53362866517201468</v>
      </c>
      <c r="M39">
        <f t="shared" si="4"/>
        <v>69.878471168003074</v>
      </c>
      <c r="N39">
        <f t="shared" si="5"/>
        <v>30.347834432099212</v>
      </c>
      <c r="P39">
        <f t="shared" si="6"/>
        <v>-3.2649934220494914</v>
      </c>
      <c r="Q39">
        <f t="shared" si="7"/>
        <v>-2.6846124942477987</v>
      </c>
      <c r="R39">
        <f t="shared" si="8"/>
        <v>-8.1217086393593103</v>
      </c>
      <c r="T39">
        <f t="shared" si="9"/>
        <v>-14.071314555656601</v>
      </c>
      <c r="V39" s="7">
        <f t="shared" si="10"/>
        <v>7.7429371727563904E-7</v>
      </c>
      <c r="W39">
        <f t="shared" si="11"/>
        <v>255.47445255474446</v>
      </c>
      <c r="Z39" s="7">
        <f t="shared" si="12"/>
        <v>259.08841929069172</v>
      </c>
      <c r="AA39" s="7">
        <f t="shared" si="13"/>
        <v>13.060755568533279</v>
      </c>
    </row>
    <row r="40" spans="7:27">
      <c r="G40">
        <f t="shared" si="14"/>
        <v>1.3800000000000003</v>
      </c>
      <c r="I40">
        <f t="shared" si="0"/>
        <v>3.4948120790283994</v>
      </c>
      <c r="J40">
        <f t="shared" si="1"/>
        <v>0.98504186098666324</v>
      </c>
      <c r="K40">
        <f t="shared" si="2"/>
        <v>0.53838905869787945</v>
      </c>
      <c r="L40">
        <f t="shared" si="3"/>
        <v>0.53838905869787945</v>
      </c>
      <c r="M40">
        <f t="shared" si="4"/>
        <v>71.424128742166573</v>
      </c>
      <c r="N40">
        <f t="shared" si="5"/>
        <v>31.019104987470385</v>
      </c>
      <c r="P40">
        <f t="shared" si="6"/>
        <v>-3.2649934220494914</v>
      </c>
      <c r="Q40">
        <f t="shared" si="7"/>
        <v>-3.0886233776908836</v>
      </c>
      <c r="R40">
        <f t="shared" si="8"/>
        <v>-8.3013545340640444</v>
      </c>
      <c r="T40">
        <f t="shared" si="9"/>
        <v>-14.654971333804419</v>
      </c>
      <c r="V40" s="7">
        <f t="shared" si="10"/>
        <v>4.3194337494731667E-7</v>
      </c>
      <c r="W40">
        <f t="shared" si="11"/>
        <v>253.62318840579704</v>
      </c>
      <c r="Z40" s="7">
        <f t="shared" si="12"/>
        <v>257.30768246056272</v>
      </c>
      <c r="AA40" s="7">
        <f t="shared" si="13"/>
        <v>13.575496439603635</v>
      </c>
    </row>
    <row r="41" spans="7:27">
      <c r="G41">
        <f t="shared" si="14"/>
        <v>1.3900000000000003</v>
      </c>
      <c r="I41">
        <f t="shared" si="0"/>
        <v>3.9519549361712549</v>
      </c>
      <c r="J41">
        <f t="shared" si="1"/>
        <v>0.98705114239556679</v>
      </c>
      <c r="K41">
        <f t="shared" si="2"/>
        <v>0.54308095735286854</v>
      </c>
      <c r="L41">
        <f t="shared" si="3"/>
        <v>0.54308095735286854</v>
      </c>
      <c r="M41">
        <f t="shared" si="4"/>
        <v>72.969786316330101</v>
      </c>
      <c r="N41">
        <f t="shared" si="5"/>
        <v>31.690375542841572</v>
      </c>
      <c r="P41">
        <f t="shared" si="6"/>
        <v>-3.2649934220494914</v>
      </c>
      <c r="Q41">
        <f t="shared" si="7"/>
        <v>-3.492634261133968</v>
      </c>
      <c r="R41">
        <f t="shared" si="8"/>
        <v>-8.4810004287687804</v>
      </c>
      <c r="T41">
        <f t="shared" si="9"/>
        <v>-15.23862811195224</v>
      </c>
      <c r="V41" s="7">
        <f t="shared" si="10"/>
        <v>2.4096163380654049E-7</v>
      </c>
      <c r="W41">
        <f t="shared" si="11"/>
        <v>251.79856115107907</v>
      </c>
      <c r="Z41" s="7">
        <f t="shared" si="12"/>
        <v>255.52694563043369</v>
      </c>
      <c r="AA41" s="7">
        <f t="shared" si="13"/>
        <v>13.900850825892395</v>
      </c>
    </row>
    <row r="42" spans="7:27">
      <c r="G42">
        <f t="shared" si="14"/>
        <v>1.4000000000000004</v>
      </c>
      <c r="I42">
        <f t="shared" si="0"/>
        <v>4.4090977933141104</v>
      </c>
      <c r="J42">
        <f t="shared" si="1"/>
        <v>0.98879359367815711</v>
      </c>
      <c r="K42">
        <f t="shared" si="2"/>
        <v>0.54770582888421493</v>
      </c>
      <c r="L42">
        <f t="shared" si="3"/>
        <v>0.54770582888421493</v>
      </c>
      <c r="M42">
        <f t="shared" si="4"/>
        <v>74.515443890493628</v>
      </c>
      <c r="N42">
        <f t="shared" si="5"/>
        <v>32.361646098212759</v>
      </c>
      <c r="P42">
        <f t="shared" si="6"/>
        <v>-3.2649934220494914</v>
      </c>
      <c r="Q42">
        <f t="shared" si="7"/>
        <v>-3.8966451445770529</v>
      </c>
      <c r="R42">
        <f t="shared" si="8"/>
        <v>-8.660646323473518</v>
      </c>
      <c r="T42">
        <f t="shared" si="9"/>
        <v>-15.822284890100063</v>
      </c>
      <c r="V42" s="7">
        <f t="shared" si="10"/>
        <v>1.3442157545256711E-7</v>
      </c>
      <c r="W42">
        <f t="shared" si="11"/>
        <v>249.99999999999994</v>
      </c>
      <c r="Z42" s="7">
        <f t="shared" si="12"/>
        <v>253.74620880030469</v>
      </c>
      <c r="AA42" s="7">
        <f t="shared" si="13"/>
        <v>14.0340803754807</v>
      </c>
    </row>
    <row r="43" spans="7:27">
      <c r="G43">
        <f t="shared" si="14"/>
        <v>1.4100000000000004</v>
      </c>
      <c r="I43">
        <f t="shared" si="0"/>
        <v>4.866240650456966</v>
      </c>
      <c r="J43">
        <f t="shared" si="1"/>
        <v>0.99030387687210875</v>
      </c>
      <c r="K43">
        <f t="shared" si="2"/>
        <v>0.55226509940093216</v>
      </c>
      <c r="L43">
        <f t="shared" si="3"/>
        <v>0.55226509940093216</v>
      </c>
      <c r="M43">
        <f t="shared" si="4"/>
        <v>76.061101464657156</v>
      </c>
      <c r="N43">
        <f t="shared" si="5"/>
        <v>33.032916653583946</v>
      </c>
      <c r="P43">
        <f t="shared" si="6"/>
        <v>-3.2649934220494914</v>
      </c>
      <c r="Q43">
        <f t="shared" si="7"/>
        <v>-4.3006560280201374</v>
      </c>
      <c r="R43">
        <f t="shared" si="8"/>
        <v>-8.8402922181782539</v>
      </c>
      <c r="T43">
        <f t="shared" si="9"/>
        <v>-16.405941668247884</v>
      </c>
      <c r="V43" s="7">
        <f t="shared" si="10"/>
        <v>7.4987705145032791E-8</v>
      </c>
      <c r="W43">
        <f t="shared" si="11"/>
        <v>248.22695035460987</v>
      </c>
      <c r="Z43" s="7">
        <f t="shared" si="12"/>
        <v>251.96547197017568</v>
      </c>
      <c r="AA43" s="7">
        <f t="shared" si="13"/>
        <v>13.976543870052836</v>
      </c>
    </row>
    <row r="44" spans="7:27">
      <c r="G44">
        <f t="shared" si="14"/>
        <v>1.4200000000000004</v>
      </c>
      <c r="I44">
        <f t="shared" si="0"/>
        <v>5.3233835075998357</v>
      </c>
      <c r="J44">
        <f t="shared" si="1"/>
        <v>0.99161234633841411</v>
      </c>
      <c r="K44">
        <f t="shared" si="2"/>
        <v>0.55676015483994923</v>
      </c>
      <c r="L44">
        <f t="shared" si="3"/>
        <v>0.55676015483994923</v>
      </c>
      <c r="M44">
        <f t="shared" si="4"/>
        <v>77.606759038820712</v>
      </c>
      <c r="N44">
        <f t="shared" si="5"/>
        <v>33.70418720895514</v>
      </c>
      <c r="P44">
        <f t="shared" si="6"/>
        <v>-3.2649934220494914</v>
      </c>
      <c r="Q44">
        <f t="shared" si="7"/>
        <v>-4.7046669114632351</v>
      </c>
      <c r="R44">
        <f t="shared" si="8"/>
        <v>-9.0199381128829952</v>
      </c>
      <c r="T44">
        <f t="shared" si="9"/>
        <v>-16.989598446395721</v>
      </c>
      <c r="V44" s="7">
        <f t="shared" si="10"/>
        <v>4.183224236129052E-8</v>
      </c>
      <c r="W44">
        <f t="shared" si="11"/>
        <v>246.47887323943655</v>
      </c>
      <c r="Z44" s="7">
        <f t="shared" si="12"/>
        <v>250.18473514004663</v>
      </c>
      <c r="AA44" s="7">
        <f t="shared" si="13"/>
        <v>13.733412426393311</v>
      </c>
    </row>
    <row r="45" spans="7:27">
      <c r="G45">
        <f t="shared" si="14"/>
        <v>1.4300000000000004</v>
      </c>
      <c r="I45">
        <f t="shared" si="0"/>
        <v>5.7805263647426912</v>
      </c>
      <c r="J45">
        <f t="shared" si="1"/>
        <v>0.99274553436504187</v>
      </c>
      <c r="K45">
        <f t="shared" si="2"/>
        <v>0.56119234237072835</v>
      </c>
      <c r="L45">
        <f t="shared" si="3"/>
        <v>0.56119234237072835</v>
      </c>
      <c r="M45">
        <f t="shared" si="4"/>
        <v>79.15241661298424</v>
      </c>
      <c r="N45">
        <f t="shared" si="5"/>
        <v>34.375457764326327</v>
      </c>
      <c r="P45">
        <f t="shared" si="6"/>
        <v>-3.2649934220494914</v>
      </c>
      <c r="Q45">
        <f t="shared" si="7"/>
        <v>-5.1086777949063196</v>
      </c>
      <c r="R45">
        <f t="shared" si="8"/>
        <v>-9.1995840075877311</v>
      </c>
      <c r="T45">
        <f t="shared" si="9"/>
        <v>-17.573255224543544</v>
      </c>
      <c r="V45" s="7">
        <f t="shared" si="10"/>
        <v>2.3336312233975469E-8</v>
      </c>
      <c r="W45">
        <f t="shared" si="11"/>
        <v>244.75524475524469</v>
      </c>
      <c r="Z45" s="7">
        <f t="shared" si="12"/>
        <v>248.40399830991763</v>
      </c>
      <c r="AA45" s="7">
        <f t="shared" si="13"/>
        <v>13.313402502738388</v>
      </c>
    </row>
    <row r="46" spans="7:27">
      <c r="G46">
        <f t="shared" si="14"/>
        <v>1.4400000000000004</v>
      </c>
      <c r="I46">
        <f t="shared" si="0"/>
        <v>6.2376692218855467</v>
      </c>
      <c r="J46">
        <f t="shared" si="1"/>
        <v>0.99372659508162731</v>
      </c>
      <c r="K46">
        <f t="shared" si="2"/>
        <v>0.56556297174135772</v>
      </c>
      <c r="L46">
        <f t="shared" si="3"/>
        <v>0.56556297174135772</v>
      </c>
      <c r="M46">
        <f t="shared" si="4"/>
        <v>80.698074187147768</v>
      </c>
      <c r="N46">
        <f t="shared" si="5"/>
        <v>35.046728319697515</v>
      </c>
      <c r="P46">
        <f t="shared" si="6"/>
        <v>-3.2649934220494914</v>
      </c>
      <c r="Q46">
        <f t="shared" si="7"/>
        <v>-5.5126886783494049</v>
      </c>
      <c r="R46">
        <f t="shared" si="8"/>
        <v>-9.3792299022924688</v>
      </c>
      <c r="T46">
        <f t="shared" si="9"/>
        <v>-18.156912002691364</v>
      </c>
      <c r="V46" s="7">
        <f t="shared" si="10"/>
        <v>1.3018271025928209E-8</v>
      </c>
      <c r="W46">
        <f t="shared" si="11"/>
        <v>243.05555555555549</v>
      </c>
      <c r="Z46" s="7">
        <f t="shared" si="12"/>
        <v>246.62326147978862</v>
      </c>
      <c r="AA46" s="7">
        <f t="shared" si="13"/>
        <v>12.728525561808231</v>
      </c>
    </row>
    <row r="47" spans="7:27">
      <c r="G47">
        <f t="shared" si="14"/>
        <v>1.4500000000000004</v>
      </c>
      <c r="I47">
        <f t="shared" si="0"/>
        <v>6.6948120790284023</v>
      </c>
      <c r="J47">
        <f t="shared" si="1"/>
        <v>0.99457570656136363</v>
      </c>
      <c r="K47">
        <f t="shared" si="2"/>
        <v>0.56987331656894391</v>
      </c>
      <c r="L47">
        <f t="shared" si="3"/>
        <v>0.56987331656894391</v>
      </c>
      <c r="M47">
        <f t="shared" si="4"/>
        <v>82.243731761311267</v>
      </c>
      <c r="N47">
        <f t="shared" si="5"/>
        <v>35.717998875068687</v>
      </c>
      <c r="P47">
        <f t="shared" si="6"/>
        <v>-3.2649934220494914</v>
      </c>
      <c r="Q47">
        <f t="shared" si="7"/>
        <v>-5.9166995617924893</v>
      </c>
      <c r="R47">
        <f t="shared" si="8"/>
        <v>-9.5588757969972029</v>
      </c>
      <c r="T47">
        <f t="shared" si="9"/>
        <v>-18.740568780839183</v>
      </c>
      <c r="V47" s="7">
        <f t="shared" si="10"/>
        <v>7.2623034353209313E-9</v>
      </c>
      <c r="W47">
        <f t="shared" si="11"/>
        <v>241.37931034482753</v>
      </c>
      <c r="Z47" s="7">
        <f t="shared" si="12"/>
        <v>244.84252464965962</v>
      </c>
      <c r="AA47" s="7">
        <f t="shared" si="13"/>
        <v>11.993853321193635</v>
      </c>
    </row>
    <row r="48" spans="7:27">
      <c r="G48">
        <f t="shared" si="14"/>
        <v>1.4600000000000004</v>
      </c>
      <c r="I48">
        <f t="shared" si="0"/>
        <v>7.1519549361712578</v>
      </c>
      <c r="J48">
        <f t="shared" si="1"/>
        <v>0.99531043233885108</v>
      </c>
      <c r="K48">
        <f t="shared" si="2"/>
        <v>0.57412461557697414</v>
      </c>
      <c r="L48">
        <f t="shared" si="3"/>
        <v>0.57412461557697414</v>
      </c>
      <c r="M48">
        <f t="shared" si="4"/>
        <v>83.789389335474795</v>
      </c>
      <c r="N48">
        <f t="shared" si="5"/>
        <v>36.389269430439874</v>
      </c>
      <c r="P48">
        <f t="shared" si="6"/>
        <v>-3.2649934220494914</v>
      </c>
      <c r="Q48">
        <f t="shared" si="7"/>
        <v>-6.3207104452355738</v>
      </c>
      <c r="R48">
        <f t="shared" si="8"/>
        <v>-9.7385216917019388</v>
      </c>
      <c r="T48">
        <f t="shared" si="9"/>
        <v>-19.324225558987003</v>
      </c>
      <c r="V48" s="7">
        <f t="shared" si="10"/>
        <v>4.0513099690143947E-9</v>
      </c>
      <c r="W48">
        <f t="shared" si="11"/>
        <v>239.7260273972602</v>
      </c>
      <c r="Z48" s="7">
        <f t="shared" si="12"/>
        <v>243.06178781953065</v>
      </c>
      <c r="AA48" s="7">
        <f t="shared" si="13"/>
        <v>11.127297594785956</v>
      </c>
    </row>
    <row r="49" spans="7:27">
      <c r="G49">
        <f t="shared" si="14"/>
        <v>1.4700000000000004</v>
      </c>
      <c r="I49">
        <f t="shared" si="0"/>
        <v>7.6090977933141133</v>
      </c>
      <c r="J49">
        <f t="shared" si="1"/>
        <v>0.99594604444843315</v>
      </c>
      <c r="K49">
        <f t="shared" si="2"/>
        <v>0.57831807378217415</v>
      </c>
      <c r="L49">
        <f t="shared" si="3"/>
        <v>0.57831807378217415</v>
      </c>
      <c r="M49">
        <f t="shared" si="4"/>
        <v>85.335046909638351</v>
      </c>
      <c r="N49">
        <f t="shared" si="5"/>
        <v>37.060539985811076</v>
      </c>
      <c r="P49">
        <f t="shared" si="6"/>
        <v>-3.2649934220494914</v>
      </c>
      <c r="Q49">
        <f t="shared" si="7"/>
        <v>-6.7247213286786591</v>
      </c>
      <c r="R49">
        <f t="shared" si="8"/>
        <v>-9.9181675864066801</v>
      </c>
      <c r="T49">
        <f t="shared" si="9"/>
        <v>-19.907882337134829</v>
      </c>
      <c r="V49" s="7">
        <f t="shared" si="10"/>
        <v>2.2600422319464786E-9</v>
      </c>
      <c r="W49">
        <f t="shared" si="11"/>
        <v>238.09523809523802</v>
      </c>
      <c r="Z49" s="7">
        <f t="shared" si="12"/>
        <v>241.28105098940162</v>
      </c>
      <c r="AA49" s="7">
        <f t="shared" si="13"/>
        <v>10.149403796619078</v>
      </c>
    </row>
    <row r="50" spans="7:27">
      <c r="G50">
        <f t="shared" si="14"/>
        <v>1.4800000000000004</v>
      </c>
      <c r="I50">
        <f t="shared" si="0"/>
        <v>8.0662406504569688</v>
      </c>
      <c r="J50">
        <f t="shared" si="1"/>
        <v>0.99649581061005976</v>
      </c>
      <c r="K50">
        <f t="shared" si="2"/>
        <v>0.58245486363324961</v>
      </c>
      <c r="L50">
        <f t="shared" si="3"/>
        <v>0.58245486363324961</v>
      </c>
      <c r="M50">
        <f t="shared" si="4"/>
        <v>86.88070448380185</v>
      </c>
      <c r="N50">
        <f t="shared" si="5"/>
        <v>37.731810541182249</v>
      </c>
      <c r="P50">
        <f t="shared" si="6"/>
        <v>-3.2649934220494914</v>
      </c>
      <c r="Q50">
        <f t="shared" si="7"/>
        <v>-7.1287322121217436</v>
      </c>
      <c r="R50">
        <f t="shared" si="8"/>
        <v>-10.097813481111412</v>
      </c>
      <c r="T50">
        <f t="shared" si="9"/>
        <v>-20.491539115282649</v>
      </c>
      <c r="V50" s="7">
        <f t="shared" si="10"/>
        <v>1.2607751392136216E-9</v>
      </c>
      <c r="W50">
        <f t="shared" si="11"/>
        <v>236.48648648648643</v>
      </c>
      <c r="Z50" s="7">
        <f t="shared" si="12"/>
        <v>239.50031415927262</v>
      </c>
      <c r="AA50" s="7">
        <f t="shared" si="13"/>
        <v>9.0831572412518344</v>
      </c>
    </row>
    <row r="51" spans="7:27">
      <c r="G51">
        <f t="shared" si="14"/>
        <v>1.4900000000000004</v>
      </c>
      <c r="I51">
        <f t="shared" si="0"/>
        <v>8.5233835075998385</v>
      </c>
      <c r="J51">
        <f t="shared" si="1"/>
        <v>0.99697124845604035</v>
      </c>
      <c r="K51">
        <f t="shared" si="2"/>
        <v>0.58653612610377381</v>
      </c>
      <c r="L51">
        <f t="shared" si="3"/>
        <v>0.58653612610377381</v>
      </c>
      <c r="M51">
        <f t="shared" si="4"/>
        <v>88.426362057965406</v>
      </c>
      <c r="N51">
        <f t="shared" si="5"/>
        <v>38.40308109655345</v>
      </c>
      <c r="P51">
        <f t="shared" si="6"/>
        <v>-3.2649934220494914</v>
      </c>
      <c r="Q51">
        <f t="shared" si="7"/>
        <v>-7.5327430955648413</v>
      </c>
      <c r="R51">
        <f t="shared" si="8"/>
        <v>-10.277459375816154</v>
      </c>
      <c r="T51">
        <f t="shared" si="9"/>
        <v>-21.075195893430486</v>
      </c>
      <c r="V51" s="7">
        <f t="shared" si="10"/>
        <v>7.0332931358104914E-10</v>
      </c>
      <c r="W51">
        <f t="shared" si="11"/>
        <v>234.89932885906035</v>
      </c>
      <c r="Z51" s="7">
        <f t="shared" si="12"/>
        <v>237.71957732914356</v>
      </c>
      <c r="AA51" s="7">
        <f t="shared" si="13"/>
        <v>7.9538014330067117</v>
      </c>
    </row>
    <row r="52" spans="7:27">
      <c r="G52">
        <f t="shared" si="14"/>
        <v>1.5000000000000004</v>
      </c>
      <c r="I52">
        <f t="shared" si="0"/>
        <v>8.9805263647426941</v>
      </c>
      <c r="J52">
        <f t="shared" si="1"/>
        <v>0.99738234977709583</v>
      </c>
      <c r="K52">
        <f t="shared" si="2"/>
        <v>0.59056297174135763</v>
      </c>
      <c r="L52">
        <f t="shared" si="3"/>
        <v>0.59056297174135763</v>
      </c>
      <c r="M52">
        <f t="shared" si="4"/>
        <v>89.972019632128905</v>
      </c>
      <c r="N52">
        <f t="shared" si="5"/>
        <v>39.074351651924623</v>
      </c>
      <c r="P52">
        <f t="shared" si="6"/>
        <v>-3.2649934220494914</v>
      </c>
      <c r="Q52">
        <f t="shared" si="7"/>
        <v>-7.9367539790079258</v>
      </c>
      <c r="R52">
        <f t="shared" si="8"/>
        <v>-10.457105270520886</v>
      </c>
      <c r="T52">
        <f t="shared" si="9"/>
        <v>-21.658852671578302</v>
      </c>
      <c r="V52" s="7">
        <f t="shared" si="10"/>
        <v>3.9235555013476882E-10</v>
      </c>
      <c r="W52">
        <f t="shared" si="11"/>
        <v>233.33333333333326</v>
      </c>
      <c r="Z52" s="7">
        <f t="shared" si="12"/>
        <v>235.93884049901459</v>
      </c>
      <c r="AA52" s="7">
        <f t="shared" si="13"/>
        <v>6.7886675904167637</v>
      </c>
    </row>
    <row r="53" spans="7:27">
      <c r="G53">
        <f t="shared" si="14"/>
        <v>1.5100000000000005</v>
      </c>
      <c r="I53">
        <f t="shared" si="0"/>
        <v>9.4376692218855496</v>
      </c>
      <c r="J53">
        <f t="shared" si="1"/>
        <v>0.99773777772681105</v>
      </c>
      <c r="K53">
        <f t="shared" si="2"/>
        <v>0.59453648167513262</v>
      </c>
      <c r="L53">
        <f t="shared" si="3"/>
        <v>0.59453648167513262</v>
      </c>
      <c r="M53">
        <f t="shared" si="4"/>
        <v>91.517677206292461</v>
      </c>
      <c r="N53">
        <f t="shared" si="5"/>
        <v>39.745622207295817</v>
      </c>
      <c r="P53">
        <f t="shared" si="6"/>
        <v>-3.2649934220494914</v>
      </c>
      <c r="Q53">
        <f t="shared" si="7"/>
        <v>-8.3407648624510102</v>
      </c>
      <c r="R53">
        <f t="shared" si="8"/>
        <v>-10.636751165225627</v>
      </c>
      <c r="T53">
        <f t="shared" si="9"/>
        <v>-22.242509449726128</v>
      </c>
      <c r="V53" s="7">
        <f t="shared" si="10"/>
        <v>2.1887738040910705E-10</v>
      </c>
      <c r="W53">
        <f t="shared" si="11"/>
        <v>231.7880794701986</v>
      </c>
      <c r="Z53" s="7">
        <f t="shared" si="12"/>
        <v>234.15810366888556</v>
      </c>
      <c r="AA53" s="7">
        <f t="shared" si="13"/>
        <v>5.6170147023617805</v>
      </c>
    </row>
    <row r="54" spans="7:27">
      <c r="G54">
        <f t="shared" si="14"/>
        <v>1.5200000000000005</v>
      </c>
      <c r="I54">
        <f t="shared" si="0"/>
        <v>9.8948120790284051</v>
      </c>
      <c r="J54">
        <f t="shared" si="1"/>
        <v>0.99804503980243731</v>
      </c>
      <c r="K54">
        <f t="shared" si="2"/>
        <v>0.59845770858346303</v>
      </c>
      <c r="L54">
        <f t="shared" si="3"/>
        <v>0.59845770858346303</v>
      </c>
      <c r="M54">
        <f t="shared" si="4"/>
        <v>93.063334780455989</v>
      </c>
      <c r="N54">
        <f t="shared" si="5"/>
        <v>40.416892762667004</v>
      </c>
      <c r="P54">
        <f t="shared" si="6"/>
        <v>-3.2649934220494914</v>
      </c>
      <c r="Q54">
        <f t="shared" si="7"/>
        <v>-8.7447757458940956</v>
      </c>
      <c r="R54">
        <f t="shared" si="8"/>
        <v>-10.816397059930363</v>
      </c>
      <c r="T54">
        <f t="shared" si="9"/>
        <v>-22.826166227873948</v>
      </c>
      <c r="V54" s="7">
        <f t="shared" si="10"/>
        <v>1.2210177130997075E-10</v>
      </c>
      <c r="W54">
        <f t="shared" si="11"/>
        <v>230.26315789473676</v>
      </c>
      <c r="Z54" s="7">
        <f t="shared" si="12"/>
        <v>232.37736683875656</v>
      </c>
      <c r="AA54" s="7">
        <f t="shared" si="13"/>
        <v>4.4698794589732902</v>
      </c>
    </row>
    <row r="55" spans="7:27">
      <c r="G55">
        <f t="shared" si="14"/>
        <v>1.5300000000000005</v>
      </c>
      <c r="I55">
        <f t="shared" si="0"/>
        <v>10.351954936171261</v>
      </c>
      <c r="J55">
        <f t="shared" si="1"/>
        <v>0.99831063924831687</v>
      </c>
      <c r="K55">
        <f t="shared" si="2"/>
        <v>0.60232767762371076</v>
      </c>
      <c r="L55">
        <f t="shared" si="3"/>
        <v>0.60232767762371076</v>
      </c>
      <c r="M55">
        <f t="shared" si="4"/>
        <v>94.608992354619517</v>
      </c>
      <c r="N55">
        <f t="shared" si="5"/>
        <v>41.088163318038191</v>
      </c>
      <c r="P55">
        <f t="shared" si="6"/>
        <v>-3.2649934220494914</v>
      </c>
      <c r="Q55">
        <f t="shared" si="7"/>
        <v>-9.1487866293371791</v>
      </c>
      <c r="R55">
        <f t="shared" si="8"/>
        <v>-10.996042954635101</v>
      </c>
      <c r="T55">
        <f t="shared" si="9"/>
        <v>-23.409823006021771</v>
      </c>
      <c r="V55" s="7">
        <f t="shared" si="10"/>
        <v>6.8115044730369114E-11</v>
      </c>
      <c r="W55">
        <f t="shared" si="11"/>
        <v>228.75816993464045</v>
      </c>
      <c r="Z55" s="7">
        <f t="shared" si="12"/>
        <v>230.59663000862756</v>
      </c>
      <c r="AA55" s="7">
        <f t="shared" si="13"/>
        <v>3.3799354436446811</v>
      </c>
    </row>
    <row r="56" spans="7:27">
      <c r="G56">
        <f t="shared" si="14"/>
        <v>1.5400000000000005</v>
      </c>
      <c r="I56">
        <f t="shared" si="0"/>
        <v>10.809097793314116</v>
      </c>
      <c r="J56">
        <f t="shared" si="1"/>
        <v>0.99854020732855731</v>
      </c>
      <c r="K56">
        <f t="shared" si="2"/>
        <v>0.60614738732577333</v>
      </c>
      <c r="L56">
        <f t="shared" si="3"/>
        <v>0.60614738732577333</v>
      </c>
      <c r="M56">
        <f t="shared" si="4"/>
        <v>96.154649928783016</v>
      </c>
      <c r="N56">
        <f t="shared" si="5"/>
        <v>41.759433873409364</v>
      </c>
      <c r="P56">
        <f t="shared" si="6"/>
        <v>-3.2649934220494914</v>
      </c>
      <c r="Q56">
        <f t="shared" si="7"/>
        <v>-9.5527975127802645</v>
      </c>
      <c r="R56">
        <f t="shared" si="8"/>
        <v>-11.175688849339835</v>
      </c>
      <c r="T56">
        <f t="shared" si="9"/>
        <v>-23.99347978416959</v>
      </c>
      <c r="V56" s="7">
        <f t="shared" si="10"/>
        <v>3.7998296575418554E-11</v>
      </c>
      <c r="W56">
        <f t="shared" si="11"/>
        <v>227.2727272727272</v>
      </c>
      <c r="Z56" s="7">
        <f t="shared" si="12"/>
        <v>228.81589317849856</v>
      </c>
      <c r="AA56" s="7">
        <f t="shared" si="13"/>
        <v>2.3813610127351428</v>
      </c>
    </row>
    <row r="57" spans="7:27">
      <c r="G57">
        <f t="shared" si="14"/>
        <v>1.5500000000000005</v>
      </c>
      <c r="I57">
        <f t="shared" si="0"/>
        <v>11.266240650456972</v>
      </c>
      <c r="J57">
        <f t="shared" si="1"/>
        <v>0.99873861870397374</v>
      </c>
      <c r="K57">
        <f t="shared" si="2"/>
        <v>0.60991781045103521</v>
      </c>
      <c r="L57">
        <f t="shared" si="3"/>
        <v>0.60991781045103521</v>
      </c>
      <c r="M57">
        <f t="shared" si="4"/>
        <v>97.700307502946544</v>
      </c>
      <c r="N57">
        <f t="shared" si="5"/>
        <v>42.430704428780551</v>
      </c>
      <c r="P57">
        <f t="shared" si="6"/>
        <v>-3.2649934220494914</v>
      </c>
      <c r="Q57">
        <f t="shared" si="7"/>
        <v>-9.9568083962233498</v>
      </c>
      <c r="R57">
        <f t="shared" si="8"/>
        <v>-11.355334744044571</v>
      </c>
      <c r="T57">
        <f t="shared" si="9"/>
        <v>-24.577136562317413</v>
      </c>
      <c r="V57" s="7">
        <f t="shared" si="10"/>
        <v>2.119752762915988E-11</v>
      </c>
      <c r="W57">
        <f t="shared" si="11"/>
        <v>225.80645161290315</v>
      </c>
      <c r="Z57" s="7">
        <f t="shared" si="12"/>
        <v>227.03515634836955</v>
      </c>
      <c r="AA57" s="7">
        <f t="shared" si="13"/>
        <v>1.5097153269575763</v>
      </c>
    </row>
    <row r="58" spans="7:27">
      <c r="G58">
        <f t="shared" si="14"/>
        <v>1.5600000000000005</v>
      </c>
      <c r="I58">
        <f t="shared" si="0"/>
        <v>11.723383507599841</v>
      </c>
      <c r="J58">
        <f t="shared" si="1"/>
        <v>0.99891009193574376</v>
      </c>
      <c r="K58">
        <f t="shared" si="2"/>
        <v>0.61363989481828085</v>
      </c>
      <c r="L58">
        <f t="shared" si="3"/>
        <v>0.61363989481828085</v>
      </c>
      <c r="M58">
        <f t="shared" si="4"/>
        <v>99.2459650771101</v>
      </c>
      <c r="N58">
        <f t="shared" si="5"/>
        <v>43.101974984151752</v>
      </c>
      <c r="P58">
        <f t="shared" si="6"/>
        <v>-3.2649934220494914</v>
      </c>
      <c r="Q58">
        <f t="shared" si="7"/>
        <v>-10.360819279666448</v>
      </c>
      <c r="R58">
        <f t="shared" si="8"/>
        <v>-11.534980638749312</v>
      </c>
      <c r="T58">
        <f t="shared" si="9"/>
        <v>-25.160793340465251</v>
      </c>
      <c r="V58" s="7">
        <f t="shared" si="10"/>
        <v>1.1825140021662686E-11</v>
      </c>
      <c r="W58">
        <f t="shared" si="11"/>
        <v>224.35897435897428</v>
      </c>
      <c r="Z58" s="7">
        <f t="shared" si="12"/>
        <v>225.2544195182405</v>
      </c>
      <c r="AA58" s="7">
        <f t="shared" si="13"/>
        <v>0.80182203325330015</v>
      </c>
    </row>
    <row r="59" spans="7:27">
      <c r="G59">
        <f t="shared" si="14"/>
        <v>1.5700000000000005</v>
      </c>
      <c r="I59">
        <f t="shared" si="0"/>
        <v>12.180526364742697</v>
      </c>
      <c r="J59">
        <f t="shared" si="1"/>
        <v>0.99905827693200056</v>
      </c>
      <c r="K59">
        <f t="shared" si="2"/>
        <v>0.61731456409804575</v>
      </c>
      <c r="L59">
        <f t="shared" si="3"/>
        <v>0.61731456409804575</v>
      </c>
      <c r="M59">
        <f t="shared" si="4"/>
        <v>100.79162265127366</v>
      </c>
      <c r="N59">
        <f t="shared" si="5"/>
        <v>43.773245539522947</v>
      </c>
      <c r="P59">
        <f t="shared" si="6"/>
        <v>-3.2649934220494914</v>
      </c>
      <c r="Q59">
        <f t="shared" si="7"/>
        <v>-10.764830163109531</v>
      </c>
      <c r="R59">
        <f t="shared" si="8"/>
        <v>-11.714626533454052</v>
      </c>
      <c r="T59">
        <f t="shared" si="9"/>
        <v>-25.744450118613074</v>
      </c>
      <c r="V59" s="7">
        <f t="shared" si="10"/>
        <v>6.596709719088716E-12</v>
      </c>
      <c r="W59">
        <f t="shared" si="11"/>
        <v>222.92993630573241</v>
      </c>
      <c r="Z59" s="7">
        <f t="shared" si="12"/>
        <v>223.4736826881115</v>
      </c>
      <c r="AA59" s="7">
        <f t="shared" si="13"/>
        <v>0.29566012835034056</v>
      </c>
    </row>
    <row r="60" spans="7:27">
      <c r="G60">
        <f t="shared" si="14"/>
        <v>1.5800000000000005</v>
      </c>
      <c r="I60">
        <f t="shared" si="0"/>
        <v>12.637669221885552</v>
      </c>
      <c r="J60">
        <f t="shared" si="1"/>
        <v>0.99918633095836173</v>
      </c>
      <c r="K60">
        <f t="shared" si="2"/>
        <v>0.62094271857680083</v>
      </c>
      <c r="L60">
        <f t="shared" si="3"/>
        <v>0.62094271857680083</v>
      </c>
      <c r="M60">
        <f t="shared" si="4"/>
        <v>102.33728022543715</v>
      </c>
      <c r="N60">
        <f t="shared" si="5"/>
        <v>44.444516094894126</v>
      </c>
      <c r="P60">
        <f t="shared" si="6"/>
        <v>-3.2649934220494914</v>
      </c>
      <c r="Q60">
        <f t="shared" si="7"/>
        <v>-11.168841046552616</v>
      </c>
      <c r="R60">
        <f t="shared" si="8"/>
        <v>-11.894272428158786</v>
      </c>
      <c r="T60">
        <f t="shared" si="9"/>
        <v>-26.328106896760893</v>
      </c>
      <c r="V60" s="7">
        <f t="shared" si="10"/>
        <v>3.6800053985154406E-12</v>
      </c>
      <c r="W60">
        <f t="shared" si="11"/>
        <v>221.51898734177209</v>
      </c>
      <c r="Z60" s="7">
        <f t="shared" si="12"/>
        <v>221.69294585798249</v>
      </c>
      <c r="AA60" s="7">
        <f t="shared" si="13"/>
        <v>3.0261565362125712E-2</v>
      </c>
    </row>
    <row r="61" spans="7:27">
      <c r="G61">
        <f t="shared" si="14"/>
        <v>1.5900000000000005</v>
      </c>
      <c r="I61">
        <f t="shared" si="0"/>
        <v>13.094812079028408</v>
      </c>
      <c r="J61">
        <f t="shared" si="1"/>
        <v>0.99929698465183403</v>
      </c>
      <c r="K61">
        <f t="shared" si="2"/>
        <v>0.62452523589230124</v>
      </c>
      <c r="L61">
        <f t="shared" si="3"/>
        <v>0.62452523589230124</v>
      </c>
      <c r="M61">
        <f t="shared" si="4"/>
        <v>103.88293779960068</v>
      </c>
      <c r="N61">
        <f t="shared" si="5"/>
        <v>45.115786650265306</v>
      </c>
      <c r="P61">
        <f t="shared" si="6"/>
        <v>-3.2649934220494914</v>
      </c>
      <c r="Q61">
        <f t="shared" si="7"/>
        <v>-11.572851929995702</v>
      </c>
      <c r="R61">
        <f t="shared" si="8"/>
        <v>-12.073918322863523</v>
      </c>
      <c r="T61">
        <f t="shared" si="9"/>
        <v>-26.911763674908716</v>
      </c>
      <c r="V61" s="7">
        <f t="shared" si="10"/>
        <v>2.0529082390749072E-12</v>
      </c>
      <c r="W61">
        <f t="shared" si="11"/>
        <v>220.12578616352195</v>
      </c>
      <c r="Z61" s="7">
        <f t="shared" si="12"/>
        <v>219.91220902785346</v>
      </c>
      <c r="AA61" s="7">
        <f t="shared" si="13"/>
        <v>4.5615192880355308E-2</v>
      </c>
    </row>
    <row r="62" spans="7:27">
      <c r="G62">
        <f t="shared" si="14"/>
        <v>1.6000000000000005</v>
      </c>
      <c r="I62">
        <f t="shared" si="0"/>
        <v>13.551954936171263</v>
      </c>
      <c r="J62">
        <f t="shared" si="1"/>
        <v>0.99939259931096092</v>
      </c>
      <c r="K62">
        <f t="shared" si="2"/>
        <v>0.62806297174135772</v>
      </c>
      <c r="L62">
        <f t="shared" si="3"/>
        <v>0.62806297174135772</v>
      </c>
      <c r="M62">
        <f t="shared" si="4"/>
        <v>105.42859537376418</v>
      </c>
      <c r="N62">
        <f t="shared" si="5"/>
        <v>45.787057205636486</v>
      </c>
      <c r="P62">
        <f t="shared" si="6"/>
        <v>-3.2649934220494914</v>
      </c>
      <c r="Q62">
        <f t="shared" si="7"/>
        <v>-11.976862813438785</v>
      </c>
      <c r="R62">
        <f t="shared" si="8"/>
        <v>-12.253564217568256</v>
      </c>
      <c r="T62">
        <f t="shared" si="9"/>
        <v>-27.495420453056532</v>
      </c>
      <c r="V62" s="7">
        <f t="shared" si="10"/>
        <v>1.1452244716167588E-12</v>
      </c>
      <c r="W62">
        <f t="shared" si="11"/>
        <v>218.74999999999991</v>
      </c>
      <c r="Z62" s="7">
        <f t="shared" si="12"/>
        <v>218.13147219772449</v>
      </c>
      <c r="AA62" s="7">
        <f t="shared" si="13"/>
        <v>0.38257664218766507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</vt:vector>
  </HeadingPairs>
  <TitlesOfParts>
    <vt:vector size="8" baseType="lpstr">
      <vt:lpstr>FictiveCalc</vt:lpstr>
      <vt:lpstr>Data</vt:lpstr>
      <vt:lpstr>CalculationsPMMA</vt:lpstr>
      <vt:lpstr>CalculationsPS</vt:lpstr>
      <vt:lpstr>CalculationsPVC</vt:lpstr>
      <vt:lpstr>PlotPMMA</vt:lpstr>
      <vt:lpstr>PlotPS</vt:lpstr>
      <vt:lpstr>PlotPVC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Ginzburg</dc:creator>
  <cp:lastModifiedBy>Valeriy Ginzburg</cp:lastModifiedBy>
  <dcterms:created xsi:type="dcterms:W3CDTF">2026-09-21T14:54:42Z</dcterms:created>
  <dcterms:modified xsi:type="dcterms:W3CDTF">2026-09-23T17:43:43Z</dcterms:modified>
</cp:coreProperties>
</file>